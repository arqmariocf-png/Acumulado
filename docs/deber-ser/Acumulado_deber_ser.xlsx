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auraorta/Downloads/"/>
    </mc:Choice>
  </mc:AlternateContent>
  <xr:revisionPtr revIDLastSave="0" documentId="13_ncr:1_{E90EFB5B-2BC2-D342-9EC6-E5E4C00DA56C}" xr6:coauthVersionLast="47" xr6:coauthVersionMax="47" xr10:uidLastSave="{00000000-0000-0000-0000-000000000000}"/>
  <bookViews>
    <workbookView xWindow="20" yWindow="660" windowWidth="29400" windowHeight="17160" tabRatio="500" xr2:uid="{00000000-000D-0000-FFFF-FFFF00000000}"/>
  </bookViews>
  <sheets>
    <sheet name="Resumen deber ser" sheetId="1" r:id="rId1"/>
    <sheet name="Deber ser" sheetId="2" r:id="rId2"/>
    <sheet name="Reglas de diseño" sheetId="3" r:id="rId3"/>
    <sheet name="Criterio SAP" sheetId="4" r:id="rId4"/>
    <sheet name="Especificaciones" sheetId="5" r:id="rId5"/>
    <sheet name="Empresas x módulos" sheetId="6" r:id="rId6"/>
    <sheet name="Roles" sheetId="7" r:id="rId7"/>
    <sheet name="Roles x menús" sheetId="8" r:id="rId8"/>
  </sheets>
  <definedNames>
    <definedName name="_xlnm._FilterDatabase" localSheetId="1" hidden="1">'Deber ser'!$A$4:$N$104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1" i="6" l="1"/>
  <c r="I31" i="6"/>
  <c r="H31" i="6"/>
  <c r="G31" i="6"/>
  <c r="F31" i="6"/>
  <c r="E31" i="6"/>
  <c r="D31" i="6"/>
  <c r="C31" i="6"/>
  <c r="J30" i="6"/>
  <c r="I30" i="6"/>
  <c r="H30" i="6"/>
  <c r="G30" i="6"/>
  <c r="F30" i="6"/>
  <c r="E30" i="6"/>
  <c r="D30" i="6"/>
  <c r="C30" i="6"/>
  <c r="J29" i="6"/>
  <c r="I29" i="6"/>
  <c r="H29" i="6"/>
  <c r="G29" i="6"/>
  <c r="F29" i="6"/>
  <c r="E29" i="6"/>
  <c r="D29" i="6"/>
  <c r="C29" i="6"/>
  <c r="I12" i="1"/>
  <c r="B12" i="1"/>
  <c r="I11" i="1"/>
  <c r="H11" i="1"/>
  <c r="G11" i="1"/>
  <c r="F11" i="1"/>
  <c r="D11" i="1"/>
  <c r="C11" i="1"/>
  <c r="E11" i="1" s="1"/>
  <c r="I10" i="1"/>
  <c r="H10" i="1"/>
  <c r="G10" i="1"/>
  <c r="F10" i="1"/>
  <c r="D10" i="1"/>
  <c r="C10" i="1"/>
  <c r="E10" i="1" s="1"/>
  <c r="I9" i="1"/>
  <c r="H9" i="1"/>
  <c r="G9" i="1"/>
  <c r="F9" i="1"/>
  <c r="D9" i="1"/>
  <c r="C9" i="1"/>
  <c r="E9" i="1" s="1"/>
  <c r="I8" i="1"/>
  <c r="H8" i="1"/>
  <c r="G8" i="1"/>
  <c r="F8" i="1"/>
  <c r="D8" i="1"/>
  <c r="C8" i="1"/>
  <c r="E8" i="1" s="1"/>
  <c r="I7" i="1"/>
  <c r="H7" i="1"/>
  <c r="G7" i="1"/>
  <c r="F7" i="1"/>
  <c r="D7" i="1"/>
  <c r="C7" i="1"/>
  <c r="E7" i="1" s="1"/>
  <c r="I6" i="1"/>
  <c r="H6" i="1"/>
  <c r="G6" i="1"/>
  <c r="F6" i="1"/>
  <c r="D6" i="1"/>
  <c r="C6" i="1"/>
  <c r="E6" i="1" s="1"/>
  <c r="I5" i="1"/>
  <c r="H5" i="1"/>
  <c r="H12" i="1" s="1"/>
  <c r="G5" i="1"/>
  <c r="G12" i="1" s="1"/>
  <c r="F5" i="1"/>
  <c r="F12" i="1" s="1"/>
  <c r="D5" i="1"/>
  <c r="D12" i="1" s="1"/>
  <c r="C5" i="1"/>
  <c r="C12" i="1" l="1"/>
  <c r="E5" i="1"/>
  <c r="E12" i="1" s="1"/>
</calcChain>
</file>

<file path=xl/sharedStrings.xml><?xml version="1.0" encoding="utf-8"?>
<sst xmlns="http://schemas.openxmlformats.org/spreadsheetml/2006/main" count="1680" uniqueCount="778">
  <si>
    <t>Resumen del deber ser</t>
  </si>
  <si>
    <t>Se calcula a partir de la hoja Deber ser.</t>
  </si>
  <si>
    <t>Grupo</t>
  </si>
  <si>
    <t>Menús</t>
  </si>
  <si>
    <t>Opciones</t>
  </si>
  <si>
    <t>Ya funcionan (Existe o Unir)</t>
  </si>
  <si>
    <t>Por trabajar</t>
  </si>
  <si>
    <t>Fase 1</t>
  </si>
  <si>
    <t>Fase 2</t>
  </si>
  <si>
    <t>Fase 3</t>
  </si>
  <si>
    <t>Avance promedio</t>
  </si>
  <si>
    <t>Mi día</t>
  </si>
  <si>
    <t>Dirección</t>
  </si>
  <si>
    <t>Comercial</t>
  </si>
  <si>
    <t>Finanzas</t>
  </si>
  <si>
    <t>Operación</t>
  </si>
  <si>
    <t>Nómina y mano de obra</t>
  </si>
  <si>
    <t>Administración</t>
  </si>
  <si>
    <t>Total</t>
  </si>
  <si>
    <t>Fases</t>
  </si>
  <si>
    <t>Lo indispensable para operar el grupo: cobrar, pagar, comprar, almacén, presupuestos, nómina y mano de obra.</t>
  </si>
  <si>
    <t>Control y consolidación: estado de resultados, traspasos, inventario físico, comisiones, legal, bitácora.</t>
  </si>
  <si>
    <t>Operación de cada negocio: producción, fletes, rentas y calificación de proyectos.</t>
  </si>
  <si>
    <t>Barra superior</t>
  </si>
  <si>
    <t>Tablero · Análisis · Gobierno</t>
  </si>
  <si>
    <t>Ventas · Cobranza · Compras · Almacén</t>
  </si>
  <si>
    <t>Tesorería · Cuentas por pagar · Presupuestos · Contabilidad</t>
  </si>
  <si>
    <t>Obras · Producción · Fletes · Mantenimiento BBVA</t>
  </si>
  <si>
    <t>Nómina · Mano de obra</t>
  </si>
  <si>
    <t>Recursos humanos · Legal y cumplimiento · Catálogos · Configuración</t>
  </si>
  <si>
    <t>Deber ser · Acumulado para el grupo</t>
  </si>
  <si>
    <t>7 grupos, máximo 7 opciones por menú. Une la hoja Match con las pantallas fuera de estructura. Columnas amarillas para llenar.</t>
  </si>
  <si>
    <t>#</t>
  </si>
  <si>
    <t>Menú</t>
  </si>
  <si>
    <t>Opción</t>
  </si>
  <si>
    <t>Qué hace</t>
  </si>
  <si>
    <t>Viene de</t>
  </si>
  <si>
    <t>Estatus</t>
  </si>
  <si>
    <t>Ruta en Acumulado</t>
  </si>
  <si>
    <t>Fase</t>
  </si>
  <si>
    <t>Quién la usa</t>
  </si>
  <si>
    <t>Prioridad</t>
  </si>
  <si>
    <t>Responsable</t>
  </si>
  <si>
    <t>Fecha compromiso</t>
  </si>
  <si>
    <t>Avance</t>
  </si>
  <si>
    <t>Inicio</t>
  </si>
  <si>
    <t>Mis pendientes y alertas del día según mi puesto</t>
  </si>
  <si>
    <t>Match 1.a, 1.d</t>
  </si>
  <si>
    <t>Ajustar</t>
  </si>
  <si>
    <t>/</t>
  </si>
  <si>
    <t>Todos</t>
  </si>
  <si>
    <t>Mis tareas</t>
  </si>
  <si>
    <t>Una sola lista de actividades con filtro por área</t>
  </si>
  <si>
    <t>Fuera: Tareas y 9 Tareas de área</t>
  </si>
  <si>
    <t>Unir</t>
  </si>
  <si>
    <t>/tareas</t>
  </si>
  <si>
    <t>Checador</t>
  </si>
  <si>
    <t>Entrada, comida y salida con foto y ubicación; alimenta Asistencia</t>
  </si>
  <si>
    <t>Fuera: Checador</t>
  </si>
  <si>
    <t>Existe</t>
  </si>
  <si>
    <t>/checador</t>
  </si>
  <si>
    <t>Comedor</t>
  </si>
  <si>
    <t>Pedido de comida con descuento vía nómina</t>
  </si>
  <si>
    <t>Fuera: Comedor</t>
  </si>
  <si>
    <t>/comedor</t>
  </si>
  <si>
    <t>Mi perfil</t>
  </si>
  <si>
    <t>Personaje, QR, contrato y documentos por firmar en una sola pantalla</t>
  </si>
  <si>
    <t>Fuera: Mi personaje, Mis documentos</t>
  </si>
  <si>
    <t>/personaje; /mis-documentos</t>
  </si>
  <si>
    <t>Tablero</t>
  </si>
  <si>
    <t>Resumen del grupo</t>
  </si>
  <si>
    <t>KPIs con semáforo contra presupuesto y año anterior; clic para bajar de grupo a empresa, centro y documento</t>
  </si>
  <si>
    <t>Match 1.b</t>
  </si>
  <si>
    <t>/dashboard</t>
  </si>
  <si>
    <t>Dirección, Finanzas</t>
  </si>
  <si>
    <t>Bandeja de aprobaciones</t>
  </si>
  <si>
    <t>Todo lo que espera al CEO en un solo lugar: OC, pagos, nóminas, estimaciones y préstamos entre empresas</t>
  </si>
  <si>
    <t>Fuera: Órdenes por autorizar; Nuevo: criterio SAP</t>
  </si>
  <si>
    <t>/finanzas/por-autorizar</t>
  </si>
  <si>
    <t>Alertas de dirección</t>
  </si>
  <si>
    <t>Solo excepciones: flujo en rojo, obras desviadas, cobros vencidos, opiniones fiscales negativas</t>
  </si>
  <si>
    <t>Nuevo: criterio SAP</t>
  </si>
  <si>
    <t>Crear</t>
  </si>
  <si>
    <t>Seguimiento de obras</t>
  </si>
  <si>
    <t>Avance físico contra avance financiero por obra</t>
  </si>
  <si>
    <t>Match 1.c, 6.e</t>
  </si>
  <si>
    <t>/finanzas/obras</t>
  </si>
  <si>
    <t>Dirección, Obra</t>
  </si>
  <si>
    <t>Análisis</t>
  </si>
  <si>
    <t>Estado de resultados</t>
  </si>
  <si>
    <t>Real contra presupuesto y año anterior, por empresa y consolidado, con drill-down a la póliza o documento</t>
  </si>
  <si>
    <t>Match 15.d</t>
  </si>
  <si>
    <t>Rentabilidad por centro de beneficio</t>
  </si>
  <si>
    <t>Utilidad por empresa, obra y línea de negocio (materiales, fábricas, fletes, TI)</t>
  </si>
  <si>
    <t>Comparativo entre empresas</t>
  </si>
  <si>
    <t>Las 8 empresas lado a lado: ventas, margen, gasto, flujo y cartera</t>
  </si>
  <si>
    <t>Reportes</t>
  </si>
  <si>
    <t>Ingresos, ingresos y egresos por proyecto, compras vs ventas, historial y reportes especiales en pestañas</t>
  </si>
  <si>
    <t>Match 15.a, 15.b, 15.c, 15.e; Fuera: Reportes especiales</t>
  </si>
  <si>
    <t>Migrar del backoffice</t>
  </si>
  <si>
    <t>/reportes</t>
  </si>
  <si>
    <t>Gobierno</t>
  </si>
  <si>
    <t>Metas y objetivos</t>
  </si>
  <si>
    <t>Metas anuales por empresa y área, con avance automático desde los datos del sistema</t>
  </si>
  <si>
    <t>Acuerdos de junta</t>
  </si>
  <si>
    <t>Acuerdos de dirección con responsable, fecha y seguimiento ligado a Mis tareas</t>
  </si>
  <si>
    <t>Vista de socio</t>
  </si>
  <si>
    <t>Lo que consulta cada socio</t>
  </si>
  <si>
    <t>Fuera: Socio</t>
  </si>
  <si>
    <t>/socio</t>
  </si>
  <si>
    <t>Socios</t>
  </si>
  <si>
    <t>Ventas</t>
  </si>
  <si>
    <t>Cotizaciones</t>
  </si>
  <si>
    <t>Cotizar a clientes de cualquier empresa</t>
  </si>
  <si>
    <t>Match 2.a</t>
  </si>
  <si>
    <t>/cotizador</t>
  </si>
  <si>
    <t>CRM</t>
  </si>
  <si>
    <t>Contactos de WhatsApp y redes, seguimiento y canales de venta</t>
  </si>
  <si>
    <t>Fuera: CRM de ventas; Match 16.g</t>
  </si>
  <si>
    <t>/ventas/crm</t>
  </si>
  <si>
    <t>Órdenes de venta</t>
  </si>
  <si>
    <t>OV a clientes externos y a empresas del grupo (tipo: entre empresas)</t>
  </si>
  <si>
    <t>Match 2.b, 2.f</t>
  </si>
  <si>
    <t>/ordenes?tipo=OV</t>
  </si>
  <si>
    <t>Facturación</t>
  </si>
  <si>
    <t>Facturas y notas de crédito ligadas a la OV</t>
  </si>
  <si>
    <t>Match 2.c, 2.d</t>
  </si>
  <si>
    <t>Ventas, Contabilidad</t>
  </si>
  <si>
    <t>Rentas y leasing</t>
  </si>
  <si>
    <t>Contratos de renta y leasing con su calendario de cobro</t>
  </si>
  <si>
    <t>Match 2.e</t>
  </si>
  <si>
    <t>Ventas, Finanzas</t>
  </si>
  <si>
    <t>Acumulado</t>
  </si>
  <si>
    <t>Definir qué debe mostrar antes de programarlo</t>
  </si>
  <si>
    <t>Match 2.g</t>
  </si>
  <si>
    <t>Por definir</t>
  </si>
  <si>
    <t>Cobranza</t>
  </si>
  <si>
    <t>Cuentas por cobrar</t>
  </si>
  <si>
    <t>Saldo por cliente con antigüedad (al corriente, 30, 60, 90+ días)</t>
  </si>
  <si>
    <t>Match 3.a, 3.b</t>
  </si>
  <si>
    <t>Finanzas, Ventas</t>
  </si>
  <si>
    <t>Registro de cobros</t>
  </si>
  <si>
    <t>Aplicar depósitos del banco a facturas</t>
  </si>
  <si>
    <t>Match 3.c</t>
  </si>
  <si>
    <t>Crédito a clientes</t>
  </si>
  <si>
    <t>Línea, días de crédito y contrato por cliente</t>
  </si>
  <si>
    <t>Match 3.d</t>
  </si>
  <si>
    <t>/legal?tab=credito</t>
  </si>
  <si>
    <t>Finanzas, Legal</t>
  </si>
  <si>
    <t>Compras</t>
  </si>
  <si>
    <t>Requisiciones</t>
  </si>
  <si>
    <t>Solicitudes de material de obra o almacén</t>
  </si>
  <si>
    <t>Match 4.a</t>
  </si>
  <si>
    <t>/requisiciones</t>
  </si>
  <si>
    <t>Obra, Almacén, Compras</t>
  </si>
  <si>
    <t>Órdenes de compra y servicio</t>
  </si>
  <si>
    <t>OC/OS con estado, editar y cancelar; tipo entre empresas para AEP</t>
  </si>
  <si>
    <t>Match 4.b, 4.c, 4.e</t>
  </si>
  <si>
    <t>Validar</t>
  </si>
  <si>
    <t>/ordenes</t>
  </si>
  <si>
    <t>Confirmar factura</t>
  </si>
  <si>
    <t>Ligar el CFDI del proveedor a su OC</t>
  </si>
  <si>
    <t>Match 4.d</t>
  </si>
  <si>
    <t>/carga</t>
  </si>
  <si>
    <t>Compras, Contabilidad</t>
  </si>
  <si>
    <t>Almacén</t>
  </si>
  <si>
    <t>Por recibir</t>
  </si>
  <si>
    <t>OC pagadas pendientes de llegar, con avance por partida</t>
  </si>
  <si>
    <t>Match 8.b; Fuera: Por recibir, Match con OC/OV</t>
  </si>
  <si>
    <t>/inventario/por-recibir; /inventario/match</t>
  </si>
  <si>
    <t>Entradas y salidas</t>
  </si>
  <si>
    <t>Registrar movimientos contra la OC o la OV</t>
  </si>
  <si>
    <t>Match 8.b, 8.c</t>
  </si>
  <si>
    <t>/inventario</t>
  </si>
  <si>
    <t>Remisiones</t>
  </si>
  <si>
    <t>Entregas de almacén a obra o cliente con QR</t>
  </si>
  <si>
    <t>Match 8.c</t>
  </si>
  <si>
    <t>/inventario/remisiones</t>
  </si>
  <si>
    <t>Almacén, Logística</t>
  </si>
  <si>
    <t>Existencias</t>
  </si>
  <si>
    <t>Lo que hay por almacén, valor por empresa y kardex por artículo</t>
  </si>
  <si>
    <t>Match 8.a, 8.f; Fuera: Resumen de inventario</t>
  </si>
  <si>
    <t>/inventario/existencias; /inventario/resumen</t>
  </si>
  <si>
    <t>Almacén, Compras</t>
  </si>
  <si>
    <t>Traspasos entre empresas</t>
  </si>
  <si>
    <t>Mover material de AEP a otra empresa con su venta interna</t>
  </si>
  <si>
    <t>Match 8.d</t>
  </si>
  <si>
    <t>Inventario físico</t>
  </si>
  <si>
    <t>Conteo y ajuste contra sistema</t>
  </si>
  <si>
    <t>Match 8.e</t>
  </si>
  <si>
    <t>Herramienta y equipo</t>
  </si>
  <si>
    <t>Piezas con folio, préstamos a obra y resguardos</t>
  </si>
  <si>
    <t>Fuera: Herramienta y equipo</t>
  </si>
  <si>
    <t>/almacen/herramienta</t>
  </si>
  <si>
    <t>Almacén, Obra</t>
  </si>
  <si>
    <t>Tesorería</t>
  </si>
  <si>
    <t>Pagos de hoy</t>
  </si>
  <si>
    <t>Semáforo por empresa y pagos del día con datos bancarios</t>
  </si>
  <si>
    <t>Match 5.c</t>
  </si>
  <si>
    <t>/finanzas/tesoreria</t>
  </si>
  <si>
    <t>Programación de pagos</t>
  </si>
  <si>
    <t>Calendario de pagos por empresa</t>
  </si>
  <si>
    <t>Match 5.b</t>
  </si>
  <si>
    <t>/finanzas/pagos</t>
  </si>
  <si>
    <t>Bancos y saldos</t>
  </si>
  <si>
    <t>Saldos por empresa y por cuenta en una pantalla con pestañas</t>
  </si>
  <si>
    <t>Match 5.e</t>
  </si>
  <si>
    <t>/finanzas/saldos; /saldos</t>
  </si>
  <si>
    <t>Tesorería, Dirección</t>
  </si>
  <si>
    <t>Conciliación bancaria</t>
  </si>
  <si>
    <t>Movimientos del banco contra CFDI y pagos</t>
  </si>
  <si>
    <t>Match 5.f</t>
  </si>
  <si>
    <t>/movimientos</t>
  </si>
  <si>
    <t>Tesorería, Contabilidad</t>
  </si>
  <si>
    <t>Efectivo</t>
  </si>
  <si>
    <t>OC pagadas en efectivo y retiros de caja</t>
  </si>
  <si>
    <t>Match 5.d; Fuera: Efectivo por confirmar</t>
  </si>
  <si>
    <t>/finanzas/efectivo</t>
  </si>
  <si>
    <t>Flujo de efectivo</t>
  </si>
  <si>
    <t>Entradas y salidas proyectadas por semana, por empresa y global</t>
  </si>
  <si>
    <t>Match 5.g</t>
  </si>
  <si>
    <t>Préstamos entre empresas</t>
  </si>
  <si>
    <t>Dinero que una empresa presta a otra y su saldo</t>
  </si>
  <si>
    <t>Fuera: Préstamos entre empresas</t>
  </si>
  <si>
    <t>/prestamos-intercompania</t>
  </si>
  <si>
    <t>Cuentas por pagar</t>
  </si>
  <si>
    <t>Saldos por proveedor</t>
  </si>
  <si>
    <t>Lo que se debe por proveedor y empresa, con vencimientos</t>
  </si>
  <si>
    <t>Match 5.a</t>
  </si>
  <si>
    <t>/finanzas/proveedores</t>
  </si>
  <si>
    <t>Tesorería, Compras</t>
  </si>
  <si>
    <t>Líneas de crédito de proveedores</t>
  </si>
  <si>
    <t>Monto, días y uso por proveedor</t>
  </si>
  <si>
    <t>Fuera: Líneas de crédito</t>
  </si>
  <si>
    <t>/finanzas/lineas-credito</t>
  </si>
  <si>
    <t>Comprobación de gastos</t>
  </si>
  <si>
    <t>Caja chica y gastos de obra con factura o nota</t>
  </si>
  <si>
    <t>Fuera: Comprobación de gastos</t>
  </si>
  <si>
    <t>/gastos</t>
  </si>
  <si>
    <t>Todos los que comprueban</t>
  </si>
  <si>
    <t>Base de OC y pagos</t>
  </si>
  <si>
    <t>Historial de OC, pagos y comprobantes</t>
  </si>
  <si>
    <t>Fuera: Base de OC y pagos</t>
  </si>
  <si>
    <t>/finanzas/historial-pagos</t>
  </si>
  <si>
    <t>Comisiones</t>
  </si>
  <si>
    <t>Pagos, histórico y beneficiarios en pestañas</t>
  </si>
  <si>
    <t>Match 12.a, 12.b, 12.c</t>
  </si>
  <si>
    <t>Créditos bancarios</t>
  </si>
  <si>
    <t>Préstamos externos, pago a capital y beneficiarios</t>
  </si>
  <si>
    <t>Match 13.a, 13.b</t>
  </si>
  <si>
    <t>Presupuestos</t>
  </si>
  <si>
    <t>Presupuesto anual</t>
  </si>
  <si>
    <t>Por empresa y por concepto de ingreso y egreso</t>
  </si>
  <si>
    <t>Match 14.a</t>
  </si>
  <si>
    <t>Finanzas, Dirección</t>
  </si>
  <si>
    <t>Presupuesto por obra</t>
  </si>
  <si>
    <t>Materiales, mano de obra y utilidad esperada por obra</t>
  </si>
  <si>
    <t>Match 14.b</t>
  </si>
  <si>
    <t>Finanzas, Obra</t>
  </si>
  <si>
    <t>Presupuesto contra real</t>
  </si>
  <si>
    <t>Lo presupuestado contra lo facturado y ejercido</t>
  </si>
  <si>
    <t>Match 14.c</t>
  </si>
  <si>
    <t>Utilidad por proyecto</t>
  </si>
  <si>
    <t>Porcentaje de utilidad real contra meta</t>
  </si>
  <si>
    <t>Match 14.d</t>
  </si>
  <si>
    <t>Contabilidad</t>
  </si>
  <si>
    <t>Carga de archivos</t>
  </si>
  <si>
    <t>Estados de cuenta, CFDI y catálogo de OC/OV</t>
  </si>
  <si>
    <t>Fuera: Carga de archivos</t>
  </si>
  <si>
    <t>Pendientes</t>
  </si>
  <si>
    <t>Concentrado de pendientes por proveedor</t>
  </si>
  <si>
    <t>Fuera: Pendientes</t>
  </si>
  <si>
    <t>/pendientes</t>
  </si>
  <si>
    <t>Perfil fiscal</t>
  </si>
  <si>
    <t>Datos fiscales y parámetros de cada empresa</t>
  </si>
  <si>
    <t>Fuera: Perfil fiscal; Match 17.d</t>
  </si>
  <si>
    <t>/perfil-fiscal</t>
  </si>
  <si>
    <t>Cumplimiento fiscal</t>
  </si>
  <si>
    <t>Calendario de declaraciones, opinión de cumplimiento y DIOT por empresa</t>
  </si>
  <si>
    <t>Nuevo: necesidad del grupo</t>
  </si>
  <si>
    <t>Eliminaciones entre empresas</t>
  </si>
  <si>
    <t>Cuadra ventas, compras y préstamos entre empresas para el consolidado</t>
  </si>
  <si>
    <t>Contabilidad, Dirección</t>
  </si>
  <si>
    <t>Activos fijos</t>
  </si>
  <si>
    <t>Maquinaria, camiones y equipo con resguardo y depreciación</t>
  </si>
  <si>
    <t>Contabilidad, Almacén, Logística</t>
  </si>
  <si>
    <t>Cierre del mes</t>
  </si>
  <si>
    <t>Checklist de cierre por empresa; al cerrar, el periodo queda bloqueado</t>
  </si>
  <si>
    <t>Obras</t>
  </si>
  <si>
    <t>Proyectos</t>
  </si>
  <si>
    <t>Obras con categoría, estatus, planos y avance</t>
  </si>
  <si>
    <t>Match 6.a, 6.b, 6.c</t>
  </si>
  <si>
    <t>/proyectos</t>
  </si>
  <si>
    <t>Obra, Dirección</t>
  </si>
  <si>
    <t>Contratos y estimaciones</t>
  </si>
  <si>
    <t>Contrato por obra con anticipo, estimaciones, retenciones, fianzas y finiquito</t>
  </si>
  <si>
    <t>Obra, Finanzas, Legal</t>
  </si>
  <si>
    <t>Precios unitarios e items por obra</t>
  </si>
  <si>
    <t>Catálogo de insumos, análisis de precio unitario e importación de items</t>
  </si>
  <si>
    <t>Fuera: Precios unitarios; Match 6.d</t>
  </si>
  <si>
    <t>/precios</t>
  </si>
  <si>
    <t>Obra, Compras</t>
  </si>
  <si>
    <t>Calificación de proyectos</t>
  </si>
  <si>
    <t>Capturar, revisar y graficar calificaciones</t>
  </si>
  <si>
    <t>Match 6.f</t>
  </si>
  <si>
    <t>Producción</t>
  </si>
  <si>
    <t>Órdenes de producción</t>
  </si>
  <si>
    <t>Qué se fabrica, cuánto y para cuándo (Clavicon y Balken)</t>
  </si>
  <si>
    <t>Match 9.a</t>
  </si>
  <si>
    <t>Consumos y mermas</t>
  </si>
  <si>
    <t>Materia prima usada y desperdicio por orden</t>
  </si>
  <si>
    <t>Match 9.b, 9.d</t>
  </si>
  <si>
    <t>Producción, Almacén</t>
  </si>
  <si>
    <t>Producto terminado</t>
  </si>
  <si>
    <t>Entrada al almacén de lo fabricado</t>
  </si>
  <si>
    <t>Match 9.c</t>
  </si>
  <si>
    <t>Costo de producción</t>
  </si>
  <si>
    <t>Costo real por pieza o tonelada</t>
  </si>
  <si>
    <t>Match 9.e</t>
  </si>
  <si>
    <t>Producción, Finanzas</t>
  </si>
  <si>
    <t>Fletes</t>
  </si>
  <si>
    <t>Viajes y servicios</t>
  </si>
  <si>
    <t>Viajes de Loma Racing, a qué empresa o cliente y su cobro</t>
  </si>
  <si>
    <t>Match 10.a</t>
  </si>
  <si>
    <t>Logística</t>
  </si>
  <si>
    <t>Unidades y mantenimiento</t>
  </si>
  <si>
    <t>Camiones, servicios y vencimientos</t>
  </si>
  <si>
    <t>Match 10.b, 10.e</t>
  </si>
  <si>
    <t>Choferes</t>
  </si>
  <si>
    <t>Asignación y viajes por chofer</t>
  </si>
  <si>
    <t>Match 10.c</t>
  </si>
  <si>
    <t>Combustible</t>
  </si>
  <si>
    <t>Cargas y rendimiento por unidad</t>
  </si>
  <si>
    <t>Match 10.d</t>
  </si>
  <si>
    <t>Mantenimiento BBVA</t>
  </si>
  <si>
    <t>Control BBVA</t>
  </si>
  <si>
    <t>Folios, estatus por paso y conciliación</t>
  </si>
  <si>
    <t>Fuera: Control BBVA</t>
  </si>
  <si>
    <t>/mantenimiento/bbva</t>
  </si>
  <si>
    <t>Operación BBVA</t>
  </si>
  <si>
    <t>Folios</t>
  </si>
  <si>
    <t>Semáforo de atención de cuadrillas</t>
  </si>
  <si>
    <t>Fuera: Folios BBVA</t>
  </si>
  <si>
    <t>/bbva/folios</t>
  </si>
  <si>
    <t>Punto de equilibrio</t>
  </si>
  <si>
    <t>Gasto del equipo contra folios cobrados</t>
  </si>
  <si>
    <t>Fuera: Punto de equilibrio BBVA</t>
  </si>
  <si>
    <t>/bbva/equilibrio</t>
  </si>
  <si>
    <t>Operación BBVA, Dirección</t>
  </si>
  <si>
    <t>Nómina</t>
  </si>
  <si>
    <t>Generar nómina</t>
  </si>
  <si>
    <t>Calcula la nómina por empresa con asistencia, incidencias y descuentos</t>
  </si>
  <si>
    <t>Match 11.e</t>
  </si>
  <si>
    <t>RH, Finanzas</t>
  </si>
  <si>
    <t>Nóminas y recibos</t>
  </si>
  <si>
    <t>Nóminas generadas, recibos timbrados y dispersión por empresa</t>
  </si>
  <si>
    <t>Match 11.f</t>
  </si>
  <si>
    <t>Historial de pagos</t>
  </si>
  <si>
    <t>Pagos de nómina por empleado, periodo y empresa</t>
  </si>
  <si>
    <t>Match 11.g</t>
  </si>
  <si>
    <t>Préstamos y descuentos</t>
  </si>
  <si>
    <t>Cuentas de nómina, financiamiento a empleados y descuentos vía nómina</t>
  </si>
  <si>
    <t>Fuera: Cuentas de nómina y financiamiento</t>
  </si>
  <si>
    <t>/financiamiento</t>
  </si>
  <si>
    <t>RH</t>
  </si>
  <si>
    <t>Mano de obra</t>
  </si>
  <si>
    <t>Solicitudes</t>
  </si>
  <si>
    <t>Pedir pago a contratistas y exportar la lista</t>
  </si>
  <si>
    <t>Match 7.a, 7.b</t>
  </si>
  <si>
    <t>Obra</t>
  </si>
  <si>
    <t>Avances</t>
  </si>
  <si>
    <t>Avance de cada partida contra lo pagado</t>
  </si>
  <si>
    <t>Match 7.c</t>
  </si>
  <si>
    <t>Obra, Finanzas</t>
  </si>
  <si>
    <t>Pagos e informes</t>
  </si>
  <si>
    <t>Historial de pagos de mano de obra</t>
  </si>
  <si>
    <t>Match 7.d</t>
  </si>
  <si>
    <t>Configuración de partidas</t>
  </si>
  <si>
    <t>Habilitar obra, partidas y conceptos en un asistente de pasos</t>
  </si>
  <si>
    <t>Match 7.e</t>
  </si>
  <si>
    <t>Recursos humanos</t>
  </si>
  <si>
    <t>Expediente del empleado</t>
  </si>
  <si>
    <t>Datos, empresa, puesto, jefe directo, documentos y su descripción de puesto</t>
  </si>
  <si>
    <t>Match 11.a, 11.b</t>
  </si>
  <si>
    <t>RH; cada jefe ve a su equipo</t>
  </si>
  <si>
    <t>Descripciones de puesto</t>
  </si>
  <si>
    <t>Objetivo, funciones, indicadores, perfil y a quién reporta cada puesto</t>
  </si>
  <si>
    <t>Nuevo: petición de dirección</t>
  </si>
  <si>
    <t>RH, Dirección</t>
  </si>
  <si>
    <t>Organigrama</t>
  </si>
  <si>
    <t>Árbol por grupo y por empresa que se arma solo desde el expediente; muestra puestos vacantes</t>
  </si>
  <si>
    <t>Todos (consulta), RH</t>
  </si>
  <si>
    <t>Vacantes</t>
  </si>
  <si>
    <t>Vacantes abiertas por empresa y puesto, candidatos, etapa y días abierta</t>
  </si>
  <si>
    <t>RH, Dirección, jefes que solicitan</t>
  </si>
  <si>
    <t>Asistencia e incidencias</t>
  </si>
  <si>
    <t>Lo que registra el checador más faltas, permisos y vacaciones</t>
  </si>
  <si>
    <t>Match 11.c, 11.d</t>
  </si>
  <si>
    <t>Legal y cumplimiento</t>
  </si>
  <si>
    <t>Asuntos y contratos</t>
  </si>
  <si>
    <t>Juicios, contratos y crédito a clientes</t>
  </si>
  <si>
    <t>Fuera: Legal</t>
  </si>
  <si>
    <t>/legal</t>
  </si>
  <si>
    <t>Legal</t>
  </si>
  <si>
    <t>Cumplimiento</t>
  </si>
  <si>
    <t>Normas, controles, incidencias e informe al comité</t>
  </si>
  <si>
    <t>Fuera: Cumplimiento</t>
  </si>
  <si>
    <t>/cumplimiento</t>
  </si>
  <si>
    <t>Legal, Dirección</t>
  </si>
  <si>
    <t>Seguros y fianzas</t>
  </si>
  <si>
    <t>Pólizas de unidades, obras y equipo con vencimientos y avisos</t>
  </si>
  <si>
    <t>Legal, Finanzas</t>
  </si>
  <si>
    <t>Catálogos</t>
  </si>
  <si>
    <t>Empresas</t>
  </si>
  <si>
    <t>Razón social, RFC, domicilio y cuentas</t>
  </si>
  <si>
    <t>Match 16.a</t>
  </si>
  <si>
    <t>/catalogos/empresas</t>
  </si>
  <si>
    <t>TI, Contabilidad</t>
  </si>
  <si>
    <t>Clientes y obras</t>
  </si>
  <si>
    <t>Clientes con sus obras relacionadas</t>
  </si>
  <si>
    <t>Match 16.b</t>
  </si>
  <si>
    <t>/catalogos/clientes</t>
  </si>
  <si>
    <t>Ventas, TI</t>
  </si>
  <si>
    <t>Proveedores y costos</t>
  </si>
  <si>
    <t>Proveedores, precios de lista e histórico de costos</t>
  </si>
  <si>
    <t>Match 16.c, 16.h</t>
  </si>
  <si>
    <t>/compras/catalogo</t>
  </si>
  <si>
    <t>Productos e items</t>
  </si>
  <si>
    <t>Productos por empresa, categorías y grupos de materiales</t>
  </si>
  <si>
    <t>Match 16.e, 16.f; Fuera: Productos</t>
  </si>
  <si>
    <t>/compras/items; /inventario/productos</t>
  </si>
  <si>
    <t>Compras, Almacén</t>
  </si>
  <si>
    <t>Contratistas</t>
  </si>
  <si>
    <t>Contratistas y sus puestos</t>
  </si>
  <si>
    <t>Match 16.d</t>
  </si>
  <si>
    <t>Obra, RH</t>
  </si>
  <si>
    <t>Centros de costo y de beneficio</t>
  </si>
  <si>
    <t>Estructura empresa › área u obra › centro; cada gasto e ingreso se asigna a uno</t>
  </si>
  <si>
    <t>Finanzas, TI</t>
  </si>
  <si>
    <t>Configuración</t>
  </si>
  <si>
    <t>Usuarios y permisos</t>
  </si>
  <si>
    <t>Usuarios, roles y qué módulos ve cada quien</t>
  </si>
  <si>
    <t>Match 17.a, 17.b</t>
  </si>
  <si>
    <t>TI</t>
  </si>
  <si>
    <t>Matriz de autorizaciones</t>
  </si>
  <si>
    <t>Quién autoriza OC, pagos y nóminas según monto y empresa</t>
  </si>
  <si>
    <t>TI, Dirección</t>
  </si>
  <si>
    <t>Bitácora de cambios</t>
  </si>
  <si>
    <t>Quién cambió qué y cuándo</t>
  </si>
  <si>
    <t>Match 17.c</t>
  </si>
  <si>
    <t>Guía de uso</t>
  </si>
  <si>
    <t>Qué hace cada módulo y cuándo usarlo</t>
  </si>
  <si>
    <t>Fuera: Guía de uso</t>
  </si>
  <si>
    <t>/guia</t>
  </si>
  <si>
    <t>Reglas para que Acumulado sea fácil, bonito y funcione para el grupo</t>
  </si>
  <si>
    <t>Tema</t>
  </si>
  <si>
    <t>Regla</t>
  </si>
  <si>
    <t>Por qué</t>
  </si>
  <si>
    <t>Máximo 7 grupos en la barra superior y 7 opciones por menú</t>
  </si>
  <si>
    <t>Todo cabe a la vista y nadie se pierde</t>
  </si>
  <si>
    <t>Agrupar por proceso (vender, cobrar, comprar, pagar, operar), no por departamento</t>
  </si>
  <si>
    <t>Una tarea no se reparte entre menús</t>
  </si>
  <si>
    <t>Cada quien ve solo los menús de su rol</t>
  </si>
  <si>
    <t>Menos ruido; el almacenista no ve tesorería</t>
  </si>
  <si>
    <t>Nombres cortos y en español claro; sin siglas internas ni números</t>
  </si>
  <si>
    <t>'Autorizar órdenes' se entiende; 'Tmp Cpis' no</t>
  </si>
  <si>
    <t>Un selector de empresa arriba, con 'Todas' para ver el consolidado</t>
  </si>
  <si>
    <t>Mismas pantallas para las 7 empresas</t>
  </si>
  <si>
    <t>Las ventas, compras y traspasos entre empresas se marcan como tales</t>
  </si>
  <si>
    <t>El consolidado no duplica ingresos ni gastos</t>
  </si>
  <si>
    <t>Pantallas</t>
  </si>
  <si>
    <t>Una pantalla por tarea; variantes como pestañas, no como opciones de menú</t>
  </si>
  <si>
    <t>Saldos por empresa y por cuenta son una sola pantalla</t>
  </si>
  <si>
    <t>Todas las listas con los mismos filtros: empresa, fechas, estatus y buscador</t>
  </si>
  <si>
    <t>Se aprende una vez</t>
  </si>
  <si>
    <t>Estatus con los mismos colores en todo el sistema: verde listo, ámbar pendiente, rojo vencido</t>
  </si>
  <si>
    <t>Se lee de un vistazo</t>
  </si>
  <si>
    <t>Botón Exportar a Excel e Imprimir en cada lista</t>
  </si>
  <si>
    <t>Sustituye las opciones sueltas de exportar</t>
  </si>
  <si>
    <t>Inicio muestra solo alertas que requieren acción, con enlace directo</t>
  </si>
  <si>
    <t>El usuario no busca, el sistema le avisa</t>
  </si>
  <si>
    <t>Datos</t>
  </si>
  <si>
    <t>Cada dato se captura una vez y fluye: OC → recepción → factura → pago → presupuesto</t>
  </si>
  <si>
    <t>Sin doble captura ni Excel paralelos</t>
  </si>
  <si>
    <t>Bitácora de quién cambió qué y cuándo</t>
  </si>
  <si>
    <t>Control interno y auditoría</t>
  </si>
  <si>
    <t>Celular</t>
  </si>
  <si>
    <t>Checador, comedor, requisiciones, almacén y avances de obra funcionan bien en celular</t>
  </si>
  <si>
    <t>Se usan en obra y bodega, no en escritorio</t>
  </si>
  <si>
    <t>Diseño</t>
  </si>
  <si>
    <t>Fondo claro, una tipografía, un color de acento; tarjetas blancas con bordes suaves</t>
  </si>
  <si>
    <t>Se ve limpio y profesional, como el login actual</t>
  </si>
  <si>
    <t>Gamificación (personaje, XP) solo en Mi día</t>
  </si>
  <si>
    <t>Motiva sin distraer en pantallas de trabajo</t>
  </si>
  <si>
    <t>Criterio tipo SAP aplicado a Acumulado</t>
  </si>
  <si>
    <t>No se trata de instalar SAP, sino de tomar sus principios para que dirección decida con datos confiables.</t>
  </si>
  <si>
    <t>Principio</t>
  </si>
  <si>
    <t>Qué significa</t>
  </si>
  <si>
    <t>Cómo queda en Acumulado</t>
  </si>
  <si>
    <t>Sociedades</t>
  </si>
  <si>
    <t>Cada empresa es una sociedad; todo documento pertenece a una sola.</t>
  </si>
  <si>
    <t>Selector de empresa arriba; consolidado con 'Todas'.</t>
  </si>
  <si>
    <t>Cada peso de gasto o ingreso tiene un centro y un responsable.</t>
  </si>
  <si>
    <t>Catálogos › Centros de costo y de beneficio; campo obligatorio en OC, nómina y facturas.</t>
  </si>
  <si>
    <t>Datos maestros únicos</t>
  </si>
  <si>
    <t>Un solo catálogo de clientes, proveedores, productos y empleados para el grupo.</t>
  </si>
  <si>
    <t>Catálogos compartidos, filtrados por empresa.</t>
  </si>
  <si>
    <t>Documento integrado</t>
  </si>
  <si>
    <t>Un documento fluye por todo el proceso sin recapturarse.</t>
  </si>
  <si>
    <t>Requisición › OC › recepción › factura › pago › presupuesto contra real.</t>
  </si>
  <si>
    <t>Flujos de aprobación</t>
  </si>
  <si>
    <t>Las aprobaciones siguen reglas por monto y empresa, no mensajes.</t>
  </si>
  <si>
    <t>Matriz de autorizaciones y Bandeja de aprobaciones.</t>
  </si>
  <si>
    <t>Drill-down</t>
  </si>
  <si>
    <t>Desde cualquier número se baja al documento que lo origina.</t>
  </si>
  <si>
    <t>Tablero › empresa › centro › documento.</t>
  </si>
  <si>
    <t>Cierre de periodo</t>
  </si>
  <si>
    <t>Al cerrar un mes, nadie modifica esa información.</t>
  </si>
  <si>
    <t>Contabilidad › Cierre del mes.</t>
  </si>
  <si>
    <t>Gestión por excepción</t>
  </si>
  <si>
    <t>Dirección ve solo lo que se sale de lo esperado.</t>
  </si>
  <si>
    <t>Tablero › Alertas de dirección con semáforos.</t>
  </si>
  <si>
    <t>Plan contra real</t>
  </si>
  <si>
    <t>Todo se compara contra presupuesto y año anterior.</t>
  </si>
  <si>
    <t>Presupuestos alimenta Tablero, Análisis y Metas.</t>
  </si>
  <si>
    <t>Equivalencia con módulos SAP</t>
  </si>
  <si>
    <t>SAP</t>
  </si>
  <si>
    <t>En Acumulado</t>
  </si>
  <si>
    <t>FI · Finanzas</t>
  </si>
  <si>
    <t>Tesorería, Cuentas por pagar, Cobranza, Contabilidad</t>
  </si>
  <si>
    <t>CO · Controlling</t>
  </si>
  <si>
    <t>Centros de costo y de beneficio, Presupuestos, Rentabilidad</t>
  </si>
  <si>
    <t>SD · Ventas</t>
  </si>
  <si>
    <t>Ventas, Cobranza</t>
  </si>
  <si>
    <t>MM · Materiales</t>
  </si>
  <si>
    <t>PP · Producción</t>
  </si>
  <si>
    <t>PS · Proyectos</t>
  </si>
  <si>
    <t>Obras, Contratos y estimaciones, Mano de obra</t>
  </si>
  <si>
    <t>HCM · Capital humano</t>
  </si>
  <si>
    <t>Recursos humanos, Organigrama, Vacantes</t>
  </si>
  <si>
    <t>Fiori Launchpad</t>
  </si>
  <si>
    <t>Mi día y Tablero: cada quien ve solo sus tarjetas</t>
  </si>
  <si>
    <t>Especificación de las opciones nuevas</t>
  </si>
  <si>
    <t>Punto de partida para el programador; ajústalo con quien usará cada pantalla.</t>
  </si>
  <si>
    <t>Dónde va</t>
  </si>
  <si>
    <t>Para qué sirve</t>
  </si>
  <si>
    <t>Pestañas</t>
  </si>
  <si>
    <t>Datos que captura</t>
  </si>
  <si>
    <t>Reglas</t>
  </si>
  <si>
    <t>Se conecta con</t>
  </si>
  <si>
    <t>Operación › Obras</t>
  </si>
  <si>
    <t>CSC, Ergodinova, Mario Contreras Farfán</t>
  </si>
  <si>
    <t>Controlar cada obra desde el contrato hasta el finiquito, y saber cuánto se ha estimado, cobrado y retenido.</t>
  </si>
  <si>
    <t>Contratos · Estimaciones · Anticipos · Retenciones y fianzas · Finiquito</t>
  </si>
  <si>
    <t>Cliente, obra, monto contratado, IVA, % de anticipo, amortización del anticipo por estimación, retenciones (fondo de garantía, 5 al millar en obra pública), fianzas (anticipo, cumplimiento, vicios ocultos), convenios modificatorios, periodo y volumen estimado por concepto.</t>
  </si>
  <si>
    <t>Una estimación no puede exceder lo contratado más convenios. El anticipo se amortiza en cada estimación. Al autorizar una estimación se genera la factura y la cuenta por cobrar.</t>
  </si>
  <si>
    <t>Proyectos, Precios unitarios, Facturación, Cuentas por cobrar, Seguros y fianzas, Presupuesto por obra</t>
  </si>
  <si>
    <t>Residente (captura) · Finanzas (autoriza y factura) · Legal (contrato y fianzas)</t>
  </si>
  <si>
    <t>Administración › Configuración</t>
  </si>
  <si>
    <t>Todas (una sola matriz para el grupo)</t>
  </si>
  <si>
    <t>Que cada OC, pago, nómina o estimación la autorice la persona correcta según monto y empresa, sin depender de mensajes.</t>
  </si>
  <si>
    <t>Reglas · Autorizadores · Historial</t>
  </si>
  <si>
    <t>Tipo de documento (OC, OS, pago, nómina, estimación, préstamo entre empresas), empresa, rango de monto, autorizador principal y suplente, número de firmas.</t>
  </si>
  <si>
    <t>Si no hay regla, el documento no avanza. Un usuario no autoriza lo que él mismo capturó. Cada autorización queda en la bitácora.</t>
  </si>
  <si>
    <t>Autorizar órdenes, Programación de pagos, Nómina, Contratos y estimaciones, Bitácora de cambios</t>
  </si>
  <si>
    <t>Dirección (define montos) · TI (configura)</t>
  </si>
  <si>
    <t>Finanzas › Contabilidad</t>
  </si>
  <si>
    <t>Las 8 razones sociales</t>
  </si>
  <si>
    <t>No vencer obligaciones ante el SAT, IMSS e Infonavit en ninguna empresa.</t>
  </si>
  <si>
    <t>Calendario · Opiniones de cumplimiento · DIOT · Expediente fiscal</t>
  </si>
  <si>
    <t>Obligación, empresa, periodicidad, fecha límite, responsable, estatus, acuse en PDF, fecha de la última opinión de cumplimiento (SAT, IMSS, Infonavit).</t>
  </si>
  <si>
    <t>Avisa 5 días antes del vencimiento. Una opinión negativa aparece como alerta en Inicio de Dirección y Contabilidad.</t>
  </si>
  <si>
    <t>Perfil fiscal, Carga de archivos, Inicio (alertas)</t>
  </si>
  <si>
    <t>Contabilidad (captura) · Dirección (consulta)</t>
  </si>
  <si>
    <t>Todas</t>
  </si>
  <si>
    <t>Que el consolidado no sume dos veces lo que una empresa le vende, compra o presta a otra.</t>
  </si>
  <si>
    <t>Operaciones por cuadrar · Diferencias · Resumen para consolidado</t>
  </si>
  <si>
    <t>Se alimenta solo de OV, OC, traspasos y préstamos marcados como entre empresas. Empresa que vende, empresa que compra, monto, mes.</t>
  </si>
  <si>
    <t>Lo vendido por una debe igualar lo comprado por la otra; si no, aparece como diferencia por revisar. El estado de resultados consolidado resta lo cuadrado.</t>
  </si>
  <si>
    <t>Órdenes de venta, Órdenes de compra, Traspasos entre empresas, Préstamos entre empresas, Estado de resultados</t>
  </si>
  <si>
    <t>Contabilidad (cuadra) · Dirección (consulta)</t>
  </si>
  <si>
    <t>Todas; más peso en Loma Racing, Clavicon, Balken y constructoras</t>
  </si>
  <si>
    <t>Saber qué activos tiene cada empresa, dónde están, quién los tiene y cuánto valen.</t>
  </si>
  <si>
    <t>Inventario de activos · Resguardos · Depreciación · Bajas</t>
  </si>
  <si>
    <t>Activo, empresa dueña, categoría (maquinaria, vehículo, equipo de obra, cómputo), factura, costo, fecha de compra, ubicación u obra, responsable, tasa de depreciación, número de serie o placa.</t>
  </si>
  <si>
    <t>Depreciación mensual automática. Un activo prestado a otra empresa queda registrado como préstamo entre empresas. Las unidades de Loma Racing se ligan con Fletes.</t>
  </si>
  <si>
    <t>Herramienta y equipo, Unidades y mantenimiento, Seguros y fianzas, Contabilidad</t>
  </si>
  <si>
    <t>Contabilidad (alta y depreciación) · Almacén o Jefe de flota (resguardo)</t>
  </si>
  <si>
    <t>Administración › Legal y cumplimiento</t>
  </si>
  <si>
    <t>Que ninguna unidad, obra o equipo quede sin seguro ni fianza vigente.</t>
  </si>
  <si>
    <t>Pólizas · Fianzas · Vencimientos · Siniestros</t>
  </si>
  <si>
    <t>Aseguradora o afianzadora, póliza, empresa, qué cubre (unidad, obra, equipo, responsabilidad civil), vigencia, prima, beneficiario, documento PDF.</t>
  </si>
  <si>
    <t>Avisa 30 días antes del vencimiento. Las fianzas de obra se crean desde el contrato. Un siniestro abierto queda como alerta hasta cerrarse.</t>
  </si>
  <si>
    <t>Contratos y estimaciones, Activos fijos, Unidades y mantenimiento, Cuentas por pagar</t>
  </si>
  <si>
    <t>Legal (captura) · Finanzas (paga primas)</t>
  </si>
  <si>
    <t>Resumen del grupo (tablero del CEO)</t>
  </si>
  <si>
    <t>Dirección › Tablero</t>
  </si>
  <si>
    <t>Que el CEO vea en una pantalla cómo va el grupo y pueda bajar hasta el documento que explica cada número.</t>
  </si>
  <si>
    <t>Grupo · Por empresa · Por centro de beneficio</t>
  </si>
  <si>
    <t>No se captura: se alimenta de Tesorería, Cobranza, Cuentas por pagar, Presupuestos y Obras. KPIs: saldo en bancos, flujo a 13 semanas, ventas, margen, cartera vencida, pagos por vencer, avance de obras, nómina.</t>
  </si>
  <si>
    <t>Cada KPI con semáforo contra presupuesto y año anterior. Clic en un número: grupo › empresa › centro › documento. Mismo número en todas las pantallas (una sola fuente).</t>
  </si>
  <si>
    <t>Todos los módulos; Centros de costo y de beneficio; Presupuestos</t>
  </si>
  <si>
    <t>Dirección general · Socios (consulta)</t>
  </si>
  <si>
    <t>Que todo lo que requiere visto bueno de dirección esté en un solo lugar, con el contexto para decidir.</t>
  </si>
  <si>
    <t>Pendientes · Aprobadas · Rechazadas</t>
  </si>
  <si>
    <t>Documento, empresa, monto, quién lo pide, presupuesto disponible, historial con ese proveedor o empleado.</t>
  </si>
  <si>
    <t>Llega según la Matriz de autorizaciones. Aprobar o rechazar con comentario, también desde el celular. Lo rechazado regresa a quien lo capturó.</t>
  </si>
  <si>
    <t>Matriz de autorizaciones, Órdenes de compra, Programación de pagos, Nómina, Contratos y estimaciones</t>
  </si>
  <si>
    <t>Dirección general y autorizadores</t>
  </si>
  <si>
    <t>Dirección › Análisis</t>
  </si>
  <si>
    <t>Saber qué empresa, obra o línea de negocio deja dinero y cuál no.</t>
  </si>
  <si>
    <t>Por empresa · Por obra · Por línea de negocio</t>
  </si>
  <si>
    <t>No se captura: ingresos y gastos asignados a cada centro de beneficio.</t>
  </si>
  <si>
    <t>Margen real contra presupuesto. Las operaciones entre empresas se muestran aparte para no inflar la utilidad.</t>
  </si>
  <si>
    <t>Centros de costo y de beneficio, Estado de resultados, Eliminaciones entre empresas</t>
  </si>
  <si>
    <t>Dirección · Finanzas</t>
  </si>
  <si>
    <t>Administración › Catálogos</t>
  </si>
  <si>
    <t>La base del criterio SAP: que cada peso de gasto o ingreso tenga dueño.</t>
  </si>
  <si>
    <t>Estructura · Responsables</t>
  </si>
  <si>
    <t>Empresa (sociedad), centro de beneficio (obra, línea de negocio), centro de costo (área: administración, almacén, flota, producción), responsable.</t>
  </si>
  <si>
    <t>Toda OC, OS, nómina, factura y gasto lleva centro obligatorio. Un centro solo pertenece a una empresa.</t>
  </si>
  <si>
    <t>Órdenes de compra, Nómina, Facturación, Comprobación de gastos, Presupuestos</t>
  </si>
  <si>
    <t>Finanzas (define) · TI (configura)</t>
  </si>
  <si>
    <t>Dirección › Gobierno</t>
  </si>
  <si>
    <t>Que las metas anuales del grupo se midan solas con los datos del sistema.</t>
  </si>
  <si>
    <t>Metas del año · Avance · Histórico</t>
  </si>
  <si>
    <t>Meta, empresa o área, indicador (ligado a un KPI del sistema), valor objetivo, responsable, periodo.</t>
  </si>
  <si>
    <t>El avance se calcula solo; nadie lo captura a mano.</t>
  </si>
  <si>
    <t>Resumen del grupo, Presupuestos, Organigrama</t>
  </si>
  <si>
    <t>Dirección · jefes de área (consulta)</t>
  </si>
  <si>
    <t>Que los acuerdos de dirección no se pierdan y tengan seguimiento.</t>
  </si>
  <si>
    <t>Juntas · Acuerdos · Pendientes</t>
  </si>
  <si>
    <t>Fecha de junta, asistentes, acuerdo, responsable, fecha compromiso, estatus.</t>
  </si>
  <si>
    <t>Cada acuerdo crea una tarea en Mis tareas del responsable.</t>
  </si>
  <si>
    <t>Mis tareas, Organigrama</t>
  </si>
  <si>
    <t>Cerrar cada mes con las mismas reglas en todas las empresas.</t>
  </si>
  <si>
    <t>Checklist · Estatus por empresa · Periodos cerrados</t>
  </si>
  <si>
    <t>Paso del cierre (conciliaciones, provisiones, depreciación, eliminaciones), empresa, responsable, fecha.</t>
  </si>
  <si>
    <t>Al cerrar un periodo nadie puede capturar ni modificar documentos con esa fecha.</t>
  </si>
  <si>
    <t>Conciliación bancaria, Activos fijos, Eliminaciones entre empresas, Estado de resultados</t>
  </si>
  <si>
    <t>Contabilidad · Dirección (consulta)</t>
  </si>
  <si>
    <t>Administración › Recursos humanos</t>
  </si>
  <si>
    <t>Que cada empleado sepa qué se espera de él y que cada puesto tenga un perfil claro.</t>
  </si>
  <si>
    <t>Catálogo de puestos · Descripción · Versiones</t>
  </si>
  <si>
    <t>Puesto, empresa, área, a quién reporta, objetivo, funciones, indicadores, perfil (escolaridad, experiencia, competencias), rango salarial, documento firmado.</t>
  </si>
  <si>
    <t>Cada empleado tiene un puesto; su expediente muestra la descripción vigente. Un cambio de descripción guarda versión y pide firma.</t>
  </si>
  <si>
    <t>Expediente del empleado, Organigrama, Vacantes, Mis documentos</t>
  </si>
  <si>
    <t>RH (captura) · empleado y jefe (consulta)</t>
  </si>
  <si>
    <t>Ver quién reporta a quién en el grupo y en cada empresa.</t>
  </si>
  <si>
    <t>Grupo · Por empresa · Por área</t>
  </si>
  <si>
    <t>No se captura: se arma con el jefe directo de cada expediente.</t>
  </si>
  <si>
    <t>Clic en una persona abre su descripción de puesto. Puestos sin ocupante aparecen como vacantes y enlazan a la vacante.</t>
  </si>
  <si>
    <t>Expediente del empleado, Descripciones de puesto, Vacantes</t>
  </si>
  <si>
    <t>Todos (consulta) · RH</t>
  </si>
  <si>
    <t>Saber qué puestos están abiertos, en qué etapa va cada uno y cuánto tiempo llevan.</t>
  </si>
  <si>
    <t>Vacantes abiertas · Candidatos · Cerradas</t>
  </si>
  <si>
    <t>Puesto (ligado a su descripción), empresa, área, quién lo solicita, motivo (nueva o reemplazo), sueldo, fecha de apertura, candidatos, etapa (solicitud, búsqueda, entrevistas, oferta, contratado).</t>
  </si>
  <si>
    <t>Toda vacante nueva pasa por la Matriz de autorizaciones. Al contratar, el candidato se convierte en expediente sin volver a capturar. Días abierta con semáforo.</t>
  </si>
  <si>
    <t>Descripciones de puesto, Organigrama, Expediente del empleado, Bandeja de aprobaciones</t>
  </si>
  <si>
    <t>RH · Dirección · jefes que solicitan</t>
  </si>
  <si>
    <t>Qué módulos ocupa cada empresa</t>
  </si>
  <si>
    <t>Valores: Usa · Vía AEP (lo hace AEP por ella) · Compartido (uno para todo el grupo) · Opcional · Por confirmar · No aplica. Se pueden cambiar con la lista.</t>
  </si>
  <si>
    <t>CSC Loma</t>
  </si>
  <si>
    <t>Ergodinova</t>
  </si>
  <si>
    <t>AEP</t>
  </si>
  <si>
    <t>Clavicon</t>
  </si>
  <si>
    <t>Loma Racing</t>
  </si>
  <si>
    <t>Balken</t>
  </si>
  <si>
    <t>Qx Soluciones</t>
  </si>
  <si>
    <t>Mario Contreras Farfán</t>
  </si>
  <si>
    <t>Nota</t>
  </si>
  <si>
    <t>Giro</t>
  </si>
  <si>
    <t>Construcción pública y privada</t>
  </si>
  <si>
    <t>Construcción privada, industria automotriz</t>
  </si>
  <si>
    <t>Casa de materiales; compra para todo el grupo</t>
  </si>
  <si>
    <t>Fábrica trefiladora</t>
  </si>
  <si>
    <t>Fletera</t>
  </si>
  <si>
    <t>Fábrica de viguetas, bloques y bovedillas</t>
  </si>
  <si>
    <t>Tecnologías de información</t>
  </si>
  <si>
    <t>Construcción</t>
  </si>
  <si>
    <t>Usa</t>
  </si>
  <si>
    <t>Todo empleado: checador, tareas, comedor y perfil.</t>
  </si>
  <si>
    <t>Cada empresa aparece en el tablero y en el consolidado.</t>
  </si>
  <si>
    <t>Rentabilidad por empresa y centro de beneficio.</t>
  </si>
  <si>
    <t>Metas por empresa; acuerdos de junta del grupo.</t>
  </si>
  <si>
    <t>CSC, Ergo y Mario Contreras Farfán facturan obra; AEP, Clavicon y Balken venden producto; Loma Racing factura fletes; Qx factura sistemas.</t>
  </si>
  <si>
    <t>Cada empresa tiene sus propios clientes y saldos.</t>
  </si>
  <si>
    <t>Vía AEP</t>
  </si>
  <si>
    <t>AEP compra todos los materiales y los vende a cada empresa. Las demás hacen requisiciones y sus propias órdenes de servicio.</t>
  </si>
  <si>
    <t>Opcional</t>
  </si>
  <si>
    <t>No aplica</t>
  </si>
  <si>
    <t>CSC, Ergo y Mario Contreras Farfán: almacén de obra. AEP: bodega central. Clavicon y Balken: materia prima y producto terminado. Loma Racing: refacciones si se controlan.</t>
  </si>
  <si>
    <t>Todas tienen cuentas bancarias propias.</t>
  </si>
  <si>
    <t>Todas tienen proveedores o saldos por pagar.</t>
  </si>
  <si>
    <t>Presupuesto anual por empresa; por obra solo CSC, Ergo y Mario Contreras Farfán.</t>
  </si>
  <si>
    <t>Cada razón social lleva su contabilidad.</t>
  </si>
  <si>
    <t>Solo las constructoras.</t>
  </si>
  <si>
    <t>Cada empresa tiene su nómina; RH la calcula y Finanzas la paga.</t>
  </si>
  <si>
    <t>Contratistas y destajos de obra.</t>
  </si>
  <si>
    <t>Solo las fábricas.</t>
  </si>
  <si>
    <t>Las demás empresas son clientes de Loma Racing, no usan el módulo.</t>
  </si>
  <si>
    <t>Contrato de CSC Loma con BBVA.</t>
  </si>
  <si>
    <t>Cada empresa tiene su plantilla; RH opera para todo el grupo.</t>
  </si>
  <si>
    <t>Contratos y asuntos por razón social.</t>
  </si>
  <si>
    <t>Compartido</t>
  </si>
  <si>
    <t>Un solo catálogo de clientes, proveedores y productos para el grupo, filtrado por empresa.</t>
  </si>
  <si>
    <t>Usuarios y permisos se administran una vez para todo el grupo.</t>
  </si>
  <si>
    <t>Menús que usa</t>
  </si>
  <si>
    <t>Vía AEP o compartido</t>
  </si>
  <si>
    <t>Por confirmar</t>
  </si>
  <si>
    <t>Roles del grupo</t>
  </si>
  <si>
    <t>Quién es cada rol, en qué empresa existe y qué menús usa. El detalle por menú está en la hoja Roles x menús.</t>
  </si>
  <si>
    <t>Rol</t>
  </si>
  <si>
    <t>Empresas donde existe</t>
  </si>
  <si>
    <t>Menús con acceso total</t>
  </si>
  <si>
    <t>Menús de consulta</t>
  </si>
  <si>
    <t>Número de usuarios</t>
  </si>
  <si>
    <t>Dirección general</t>
  </si>
  <si>
    <t>Ve todo el grupo y autoriza órdenes y pagos grandes.</t>
  </si>
  <si>
    <t>Mi día, Tablero, Análisis, Gobierno</t>
  </si>
  <si>
    <t>Ventas, Cobranza, Compras, Almacén, Tesorería, Cuentas por pagar, Presupuestos, Contabilidad, Obras, Nómina, Mano de obra, Producción, Fletes, Mantenimiento BBVA, Recursos humanos, Legal y cumplimiento, Catálogos, Configuración</t>
  </si>
  <si>
    <t>Socio</t>
  </si>
  <si>
    <t>Consulta resultados y saldos.</t>
  </si>
  <si>
    <t>Tablero, Análisis, Gobierno</t>
  </si>
  <si>
    <t>Finanzas y tesorería</t>
  </si>
  <si>
    <t>Corporativo (todas)</t>
  </si>
  <si>
    <t>Paga, cobra, programa flujo y lleva presupuestos.</t>
  </si>
  <si>
    <t>Mi día, Análisis, Cobranza, Tesorería, Cuentas por pagar, Presupuestos</t>
  </si>
  <si>
    <t>Tablero, Ventas, Compras, Contabilidad, Nómina</t>
  </si>
  <si>
    <t>Carga CFDI y estados de cuenta, concilia y cierra.</t>
  </si>
  <si>
    <t>Mi día, Contabilidad</t>
  </si>
  <si>
    <t>Ventas, Cobranza, Compras, Tesorería, Cuentas por pagar</t>
  </si>
  <si>
    <t>Empleados, asistencia, incidencias y nómina.</t>
  </si>
  <si>
    <t>Mi día, Nómina, Recursos humanos</t>
  </si>
  <si>
    <t>Gobierno, Tesorería</t>
  </si>
  <si>
    <t>Contratos, juicios, crédito a clientes y controles.</t>
  </si>
  <si>
    <t>Mi día, Legal y cumplimiento</t>
  </si>
  <si>
    <t>Marketing y relaciones públicas</t>
  </si>
  <si>
    <t>Prospectos, redes y CRM.</t>
  </si>
  <si>
    <t>Compra materiales para todo el grupo y administra proveedores.</t>
  </si>
  <si>
    <t>Mi día, Compras, Catálogos</t>
  </si>
  <si>
    <t>Almacén, Cuentas por pagar</t>
  </si>
  <si>
    <t>Ventas y mostrador</t>
  </si>
  <si>
    <t>AEP, Clavicon, Balken, Loma Racing, Qx</t>
  </si>
  <si>
    <t>Cotiza, levanta OV y da seguimiento a clientes.</t>
  </si>
  <si>
    <t>Mi día, Ventas</t>
  </si>
  <si>
    <t>Cobranza, Almacén, Catálogos</t>
  </si>
  <si>
    <t>Almacenista</t>
  </si>
  <si>
    <t>AEP, Clavicon, Balken; CSC, Ergo y Mario Contreras Farfán (obra)</t>
  </si>
  <si>
    <t>Recibe, entrega, remisiona y cuenta inventario.</t>
  </si>
  <si>
    <t>Mi día, Almacén</t>
  </si>
  <si>
    <t>Residente o supervisor de obra</t>
  </si>
  <si>
    <t>Requisiciones, avances, mano de obra y herramienta en obra.</t>
  </si>
  <si>
    <t>Mi día, Obras, Mano de obra</t>
  </si>
  <si>
    <t>Compras, Almacén, Presupuestos</t>
  </si>
  <si>
    <t>Arquitecto, diseñador o ingeniero civil</t>
  </si>
  <si>
    <t>Proyectos, planos y precios unitarios.</t>
  </si>
  <si>
    <t>Mi día, Obras</t>
  </si>
  <si>
    <t>Jefe de producción</t>
  </si>
  <si>
    <t>Clavicon, Balken</t>
  </si>
  <si>
    <t>Órdenes de producción, consumos, mermas y costo.</t>
  </si>
  <si>
    <t>Mi día, Producción</t>
  </si>
  <si>
    <t>Operador de producción</t>
  </si>
  <si>
    <t>Registra lo producido y lo consumido.</t>
  </si>
  <si>
    <t>Jefe de flota</t>
  </si>
  <si>
    <t>Viajes, unidades, choferes y combustible.</t>
  </si>
  <si>
    <t>Mi día, Fletes</t>
  </si>
  <si>
    <t>Chofer</t>
  </si>
  <si>
    <t>Ve sus viajes y registra combustible desde el celular.</t>
  </si>
  <si>
    <t>Coordinador BBVA</t>
  </si>
  <si>
    <t>Folios, cuadrillas y punto de equilibrio del contrato.</t>
  </si>
  <si>
    <t>Mi día, Mantenimiento BBVA</t>
  </si>
  <si>
    <t>Usuarios, permisos, catálogos y soporte.</t>
  </si>
  <si>
    <t>Mi día, Catálogos, Configuración</t>
  </si>
  <si>
    <t>Número de usuarios (amarillo): llénalo para dimensionar licencias y capacitación.</t>
  </si>
  <si>
    <t>Acceso de cada rol por menú</t>
  </si>
  <si>
    <t>Total = puede capturar y modificar · Consulta = solo ver · vacío = no ve el menú. Cada rol ve solo los datos de sus empresas.</t>
  </si>
  <si>
    <t>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</si>
</sst>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10"/>
      <color rgb="FF47556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rgb="FF475569"/>
      <name val="Arial"/>
      <family val="2"/>
    </font>
    <font>
      <b/>
      <sz val="8"/>
      <color rgb="FF475569"/>
      <name val="Arial"/>
      <family val="2"/>
    </font>
    <font>
      <sz val="8"/>
      <color rgb="FF475569"/>
      <name val="Arial"/>
      <family val="2"/>
    </font>
    <font>
      <b/>
      <sz val="9"/>
      <color rgb="FF0F172A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1F5F9"/>
        <bgColor rgb="FFF8FAFC"/>
      </patternFill>
    </fill>
    <fill>
      <patternFill patternType="solid">
        <fgColor rgb="FFE0E7FF"/>
        <bgColor rgb="FFE2E8F0"/>
      </patternFill>
    </fill>
    <fill>
      <patternFill patternType="solid">
        <fgColor rgb="FFDCFCE7"/>
        <bgColor rgb="FFD1FAE5"/>
      </patternFill>
    </fill>
    <fill>
      <patternFill patternType="solid">
        <fgColor rgb="FFFEF3C7"/>
        <bgColor rgb="FFFFF9C4"/>
      </patternFill>
    </fill>
    <fill>
      <patternFill patternType="solid">
        <fgColor rgb="FFE0F2FE"/>
        <bgColor rgb="FFE0E7FF"/>
      </patternFill>
    </fill>
    <fill>
      <patternFill patternType="solid">
        <fgColor rgb="FFFFE4E6"/>
        <bgColor rgb="FFFCE7F3"/>
      </patternFill>
    </fill>
    <fill>
      <patternFill patternType="solid">
        <fgColor rgb="FFFCE7F3"/>
        <bgColor rgb="FFFFE4E6"/>
      </patternFill>
    </fill>
    <fill>
      <patternFill patternType="solid">
        <fgColor rgb="FFFFF9C4"/>
        <bgColor rgb="FFFEF3C7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5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3" borderId="1" xfId="0" applyFont="1" applyFill="1" applyBorder="1"/>
    <xf numFmtId="0" fontId="5" fillId="0" borderId="1" xfId="0" applyFont="1" applyBorder="1"/>
    <xf numFmtId="9" fontId="5" fillId="0" borderId="1" xfId="0" applyNumberFormat="1" applyFont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4" fillId="0" borderId="0" xfId="0" applyFont="1"/>
    <xf numFmtId="9" fontId="4" fillId="0" borderId="0" xfId="0" applyNumberFormat="1" applyFont="1"/>
    <xf numFmtId="0" fontId="5" fillId="0" borderId="0" xfId="0" applyFont="1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164" fontId="5" fillId="10" borderId="1" xfId="0" applyNumberFormat="1" applyFont="1" applyFill="1" applyBorder="1" applyAlignment="1">
      <alignment vertical="top" wrapText="1"/>
    </xf>
    <xf numFmtId="9" fontId="5" fillId="10" borderId="1" xfId="0" applyNumberFormat="1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3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15">
    <dxf>
      <fill>
        <patternFill>
          <bgColor rgb="FFE0F2FE"/>
        </patternFill>
      </fill>
    </dxf>
    <dxf>
      <font>
        <b/>
        <color rgb="FFFFFFFF"/>
      </font>
      <fill>
        <patternFill>
          <bgColor rgb="FF0F172A"/>
        </patternFill>
      </fill>
    </dxf>
    <dxf>
      <fill>
        <patternFill>
          <bgColor rgb="FFF8FAFC"/>
        </patternFill>
      </fill>
    </dxf>
    <dxf>
      <fill>
        <patternFill>
          <bgColor rgb="FFFCE7F3"/>
        </patternFill>
      </fill>
    </dxf>
    <dxf>
      <fill>
        <patternFill>
          <bgColor rgb="FFFEF3C7"/>
        </patternFill>
      </fill>
    </dxf>
    <dxf>
      <fill>
        <patternFill>
          <bgColor rgb="FFEDE9FE"/>
        </patternFill>
      </fill>
    </dxf>
    <dxf>
      <fill>
        <patternFill>
          <bgColor rgb="FFE0F2FE"/>
        </patternFill>
      </fill>
    </dxf>
    <dxf>
      <fill>
        <patternFill>
          <bgColor rgb="FFDCFCE7"/>
        </patternFill>
      </fill>
    </dxf>
    <dxf>
      <fill>
        <patternFill>
          <bgColor rgb="FFFCE7F3"/>
        </patternFill>
      </fill>
    </dxf>
    <dxf>
      <fill>
        <patternFill>
          <bgColor rgb="FFFFEDD5"/>
        </patternFill>
      </fill>
    </dxf>
    <dxf>
      <fill>
        <patternFill>
          <bgColor rgb="FFEDE9FE"/>
        </patternFill>
      </fill>
    </dxf>
    <dxf>
      <fill>
        <patternFill>
          <bgColor rgb="FFE0F2FE"/>
        </patternFill>
      </fill>
    </dxf>
    <dxf>
      <fill>
        <patternFill>
          <bgColor rgb="FFFEF3C7"/>
        </patternFill>
      </fill>
    </dxf>
    <dxf>
      <fill>
        <patternFill>
          <bgColor rgb="FFD1FAE5"/>
        </patternFill>
      </fill>
    </dxf>
    <dxf>
      <fill>
        <patternFill>
          <bgColor rgb="FFDCFC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1F5F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2E8F0"/>
      <rgbColor rgb="FF808080"/>
      <rgbColor rgb="FF9999FF"/>
      <rgbColor rgb="FF993366"/>
      <rgbColor rgb="FFFFF9C4"/>
      <rgbColor rgb="FFDCFCE7"/>
      <rgbColor rgb="FF660066"/>
      <rgbColor rgb="FFFF8080"/>
      <rgbColor rgb="FF0066CC"/>
      <rgbColor rgb="FFE0E7FF"/>
      <rgbColor rgb="FF000080"/>
      <rgbColor rgb="FFFF00FF"/>
      <rgbColor rgb="FFF8FAFC"/>
      <rgbColor rgb="FF00FFFF"/>
      <rgbColor rgb="FF800080"/>
      <rgbColor rgb="FF800000"/>
      <rgbColor rgb="FF008080"/>
      <rgbColor rgb="FF0000FF"/>
      <rgbColor rgb="FF00CCFF"/>
      <rgbColor rgb="FFE0F2FE"/>
      <rgbColor rgb="FFD1FAE5"/>
      <rgbColor rgb="FFFEF3C7"/>
      <rgbColor rgb="FFEDE9FE"/>
      <rgbColor rgb="FFFCE7F3"/>
      <rgbColor rgb="FFFFEDD5"/>
      <rgbColor rgb="FFFFE4E6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Normal="100" workbookViewId="0">
      <selection activeCell="D12" sqref="D12"/>
    </sheetView>
  </sheetViews>
  <sheetFormatPr baseColWidth="10" defaultColWidth="8.6640625" defaultRowHeight="15" x14ac:dyDescent="0.2"/>
  <cols>
    <col min="1" max="1" width="18" customWidth="1"/>
    <col min="2" max="2" width="9" customWidth="1"/>
    <col min="3" max="3" width="10" customWidth="1"/>
    <col min="4" max="4" width="16" customWidth="1"/>
    <col min="5" max="5" width="12" customWidth="1"/>
    <col min="6" max="8" width="9" customWidth="1"/>
    <col min="9" max="9" width="12" customWidth="1"/>
  </cols>
  <sheetData>
    <row r="1" spans="1:9" ht="18" x14ac:dyDescent="0.2">
      <c r="A1" s="2" t="s">
        <v>0</v>
      </c>
    </row>
    <row r="2" spans="1:9" x14ac:dyDescent="0.2">
      <c r="A2" s="3" t="s">
        <v>1</v>
      </c>
    </row>
    <row r="4" spans="1:9" ht="31.5" customHeight="1" x14ac:dyDescent="0.2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spans="1:9" x14ac:dyDescent="0.2">
      <c r="A5" s="5" t="s">
        <v>11</v>
      </c>
      <c r="B5" s="6">
        <v>1</v>
      </c>
      <c r="C5" s="6">
        <f>COUNTIF('Deber ser'!$B$5:$B$104,A5)</f>
        <v>5</v>
      </c>
      <c r="D5" s="6">
        <f>COUNTIFS('Deber ser'!$B$5:$B$104,A5,'Deber ser'!$G$5:$G$104,"Existe")+COUNTIFS('Deber ser'!$B$5:$B$104,A5,'Deber ser'!$G$5:$G$104,"Unir")</f>
        <v>4</v>
      </c>
      <c r="E5" s="6">
        <f t="shared" ref="E5:E11" si="0">C5-D5</f>
        <v>1</v>
      </c>
      <c r="F5" s="6">
        <f>COUNTIFS('Deber ser'!$B$5:$B$104,$A5,'Deber ser'!$I$5:$I$104,"Fase 1")</f>
        <v>3</v>
      </c>
      <c r="G5" s="6">
        <f>COUNTIFS('Deber ser'!$B$5:$B$104,$A5,'Deber ser'!$I$5:$I$104,"Fase 2")</f>
        <v>2</v>
      </c>
      <c r="H5" s="6">
        <f>COUNTIFS('Deber ser'!$B$5:$B$104,$A5,'Deber ser'!$I$5:$I$104,"Fase 3")</f>
        <v>0</v>
      </c>
      <c r="I5" s="7">
        <f>IFERROR(AVERAGEIF('Deber ser'!$B$5:$B$104,A5,'Deber ser'!$N$5:$N$104),0)</f>
        <v>0</v>
      </c>
    </row>
    <row r="6" spans="1:9" x14ac:dyDescent="0.2">
      <c r="A6" s="8" t="s">
        <v>12</v>
      </c>
      <c r="B6" s="6">
        <v>3</v>
      </c>
      <c r="C6" s="6">
        <f>COUNTIF('Deber ser'!$B$5:$B$104,A6)</f>
        <v>11</v>
      </c>
      <c r="D6" s="6">
        <f>COUNTIFS('Deber ser'!$B$5:$B$104,A6,'Deber ser'!$G$5:$G$104,"Existe")+COUNTIFS('Deber ser'!$B$5:$B$104,A6,'Deber ser'!$G$5:$G$104,"Unir")</f>
        <v>2</v>
      </c>
      <c r="E6" s="6">
        <f t="shared" si="0"/>
        <v>9</v>
      </c>
      <c r="F6" s="6">
        <f>COUNTIFS('Deber ser'!$B$5:$B$104,$A6,'Deber ser'!$I$5:$I$104,"Fase 1")</f>
        <v>4</v>
      </c>
      <c r="G6" s="6">
        <f>COUNTIFS('Deber ser'!$B$5:$B$104,$A6,'Deber ser'!$I$5:$I$104,"Fase 2")</f>
        <v>7</v>
      </c>
      <c r="H6" s="6">
        <f>COUNTIFS('Deber ser'!$B$5:$B$104,$A6,'Deber ser'!$I$5:$I$104,"Fase 3")</f>
        <v>0</v>
      </c>
      <c r="I6" s="7">
        <f>IFERROR(AVERAGEIF('Deber ser'!$B$5:$B$104,A6,'Deber ser'!$N$5:$N$104),0)</f>
        <v>0</v>
      </c>
    </row>
    <row r="7" spans="1:9" x14ac:dyDescent="0.2">
      <c r="A7" s="9" t="s">
        <v>13</v>
      </c>
      <c r="B7" s="6">
        <v>4</v>
      </c>
      <c r="C7" s="6">
        <f>COUNTIF('Deber ser'!$B$5:$B$104,A7)</f>
        <v>19</v>
      </c>
      <c r="D7" s="6">
        <f>COUNTIFS('Deber ser'!$B$5:$B$104,A7,'Deber ser'!$G$5:$G$104,"Existe")+COUNTIFS('Deber ser'!$B$5:$B$104,A7,'Deber ser'!$G$5:$G$104,"Unir")</f>
        <v>6</v>
      </c>
      <c r="E7" s="6">
        <f t="shared" si="0"/>
        <v>13</v>
      </c>
      <c r="F7" s="6">
        <f>COUNTIFS('Deber ser'!$B$5:$B$104,$A7,'Deber ser'!$I$5:$I$104,"Fase 1")</f>
        <v>12</v>
      </c>
      <c r="G7" s="6">
        <f>COUNTIFS('Deber ser'!$B$5:$B$104,$A7,'Deber ser'!$I$5:$I$104,"Fase 2")</f>
        <v>6</v>
      </c>
      <c r="H7" s="6">
        <f>COUNTIFS('Deber ser'!$B$5:$B$104,$A7,'Deber ser'!$I$5:$I$104,"Fase 3")</f>
        <v>1</v>
      </c>
      <c r="I7" s="7">
        <f>IFERROR(AVERAGEIF('Deber ser'!$B$5:$B$104,A7,'Deber ser'!$N$5:$N$104),0)</f>
        <v>0</v>
      </c>
    </row>
    <row r="8" spans="1:9" x14ac:dyDescent="0.2">
      <c r="A8" s="10" t="s">
        <v>14</v>
      </c>
      <c r="B8" s="6">
        <v>4</v>
      </c>
      <c r="C8" s="6">
        <f>COUNTIF('Deber ser'!$B$5:$B$104,A8)</f>
        <v>24</v>
      </c>
      <c r="D8" s="6">
        <f>COUNTIFS('Deber ser'!$B$5:$B$104,A8,'Deber ser'!$G$5:$G$104,"Existe")+COUNTIFS('Deber ser'!$B$5:$B$104,A8,'Deber ser'!$G$5:$G$104,"Unir")</f>
        <v>12</v>
      </c>
      <c r="E8" s="6">
        <f t="shared" si="0"/>
        <v>12</v>
      </c>
      <c r="F8" s="6">
        <f>COUNTIFS('Deber ser'!$B$5:$B$104,$A8,'Deber ser'!$I$5:$I$104,"Fase 1")</f>
        <v>18</v>
      </c>
      <c r="G8" s="6">
        <f>COUNTIFS('Deber ser'!$B$5:$B$104,$A8,'Deber ser'!$I$5:$I$104,"Fase 2")</f>
        <v>6</v>
      </c>
      <c r="H8" s="6">
        <f>COUNTIFS('Deber ser'!$B$5:$B$104,$A8,'Deber ser'!$I$5:$I$104,"Fase 3")</f>
        <v>0</v>
      </c>
      <c r="I8" s="7">
        <f>IFERROR(AVERAGEIF('Deber ser'!$B$5:$B$104,A8,'Deber ser'!$N$5:$N$104),0)</f>
        <v>0</v>
      </c>
    </row>
    <row r="9" spans="1:9" x14ac:dyDescent="0.2">
      <c r="A9" s="11" t="s">
        <v>15</v>
      </c>
      <c r="B9" s="6">
        <v>4</v>
      </c>
      <c r="C9" s="6">
        <f>COUNTIF('Deber ser'!$B$5:$B$104,A9)</f>
        <v>15</v>
      </c>
      <c r="D9" s="6">
        <f>COUNTIFS('Deber ser'!$B$5:$B$104,A9,'Deber ser'!$G$5:$G$104,"Existe")+COUNTIFS('Deber ser'!$B$5:$B$104,A9,'Deber ser'!$G$5:$G$104,"Unir")</f>
        <v>3</v>
      </c>
      <c r="E9" s="6">
        <f t="shared" si="0"/>
        <v>12</v>
      </c>
      <c r="F9" s="6">
        <f>COUNTIFS('Deber ser'!$B$5:$B$104,$A9,'Deber ser'!$I$5:$I$104,"Fase 1")</f>
        <v>6</v>
      </c>
      <c r="G9" s="6">
        <f>COUNTIFS('Deber ser'!$B$5:$B$104,$A9,'Deber ser'!$I$5:$I$104,"Fase 2")</f>
        <v>0</v>
      </c>
      <c r="H9" s="6">
        <f>COUNTIFS('Deber ser'!$B$5:$B$104,$A9,'Deber ser'!$I$5:$I$104,"Fase 3")</f>
        <v>9</v>
      </c>
      <c r="I9" s="7">
        <f>IFERROR(AVERAGEIF('Deber ser'!$B$5:$B$104,A9,'Deber ser'!$N$5:$N$104),0)</f>
        <v>0</v>
      </c>
    </row>
    <row r="10" spans="1:9" x14ac:dyDescent="0.2">
      <c r="A10" s="12" t="s">
        <v>16</v>
      </c>
      <c r="B10" s="6">
        <v>2</v>
      </c>
      <c r="C10" s="6">
        <f>COUNTIF('Deber ser'!$B$5:$B$104,A10)</f>
        <v>8</v>
      </c>
      <c r="D10" s="6">
        <f>COUNTIFS('Deber ser'!$B$5:$B$104,A10,'Deber ser'!$G$5:$G$104,"Existe")+COUNTIFS('Deber ser'!$B$5:$B$104,A10,'Deber ser'!$G$5:$G$104,"Unir")</f>
        <v>1</v>
      </c>
      <c r="E10" s="6">
        <f t="shared" si="0"/>
        <v>7</v>
      </c>
      <c r="F10" s="6">
        <f>COUNTIFS('Deber ser'!$B$5:$B$104,$A10,'Deber ser'!$I$5:$I$104,"Fase 1")</f>
        <v>7</v>
      </c>
      <c r="G10" s="6">
        <f>COUNTIFS('Deber ser'!$B$5:$B$104,$A10,'Deber ser'!$I$5:$I$104,"Fase 2")</f>
        <v>1</v>
      </c>
      <c r="H10" s="6">
        <f>COUNTIFS('Deber ser'!$B$5:$B$104,$A10,'Deber ser'!$I$5:$I$104,"Fase 3")</f>
        <v>0</v>
      </c>
      <c r="I10" s="7">
        <f>IFERROR(AVERAGEIF('Deber ser'!$B$5:$B$104,A10,'Deber ser'!$N$5:$N$104),0)</f>
        <v>0</v>
      </c>
    </row>
    <row r="11" spans="1:9" x14ac:dyDescent="0.2">
      <c r="A11" s="13" t="s">
        <v>17</v>
      </c>
      <c r="B11" s="6">
        <v>4</v>
      </c>
      <c r="C11" s="6">
        <f>COUNTIF('Deber ser'!$B$5:$B$104,A11)</f>
        <v>18</v>
      </c>
      <c r="D11" s="6">
        <f>COUNTIFS('Deber ser'!$B$5:$B$104,A11,'Deber ser'!$G$5:$G$104,"Existe")+COUNTIFS('Deber ser'!$B$5:$B$104,A11,'Deber ser'!$G$5:$G$104,"Unir")</f>
        <v>6</v>
      </c>
      <c r="E11" s="6">
        <f t="shared" si="0"/>
        <v>12</v>
      </c>
      <c r="F11" s="6">
        <f>COUNTIFS('Deber ser'!$B$5:$B$104,$A11,'Deber ser'!$I$5:$I$104,"Fase 1")</f>
        <v>14</v>
      </c>
      <c r="G11" s="6">
        <f>COUNTIFS('Deber ser'!$B$5:$B$104,$A11,'Deber ser'!$I$5:$I$104,"Fase 2")</f>
        <v>4</v>
      </c>
      <c r="H11" s="6">
        <f>COUNTIFS('Deber ser'!$B$5:$B$104,$A11,'Deber ser'!$I$5:$I$104,"Fase 3")</f>
        <v>0</v>
      </c>
      <c r="I11" s="7">
        <f>IFERROR(AVERAGEIF('Deber ser'!$B$5:$B$104,A11,'Deber ser'!$N$5:$N$104),0)</f>
        <v>0</v>
      </c>
    </row>
    <row r="12" spans="1:9" x14ac:dyDescent="0.2">
      <c r="A12" s="14" t="s">
        <v>18</v>
      </c>
      <c r="B12" s="14">
        <f t="shared" ref="B12:H12" si="1">SUM(B5:B11)</f>
        <v>22</v>
      </c>
      <c r="C12" s="14">
        <f t="shared" si="1"/>
        <v>100</v>
      </c>
      <c r="D12" s="14">
        <f t="shared" si="1"/>
        <v>34</v>
      </c>
      <c r="E12" s="14">
        <f t="shared" si="1"/>
        <v>66</v>
      </c>
      <c r="F12" s="14">
        <f t="shared" si="1"/>
        <v>64</v>
      </c>
      <c r="G12" s="14">
        <f t="shared" si="1"/>
        <v>26</v>
      </c>
      <c r="H12" s="14">
        <f t="shared" si="1"/>
        <v>10</v>
      </c>
      <c r="I12" s="15">
        <f>IFERROR(AVERAGE('Deber ser'!$N$5:$N$104),0)</f>
        <v>0</v>
      </c>
    </row>
    <row r="14" spans="1:9" x14ac:dyDescent="0.2">
      <c r="A14" s="14" t="s">
        <v>19</v>
      </c>
    </row>
    <row r="15" spans="1:9" ht="27.75" customHeight="1" x14ac:dyDescent="0.2">
      <c r="A15" s="14" t="s">
        <v>7</v>
      </c>
      <c r="B15" s="1" t="s">
        <v>20</v>
      </c>
      <c r="C15" s="1"/>
      <c r="D15" s="1"/>
      <c r="E15" s="1"/>
      <c r="F15" s="1"/>
      <c r="G15" s="1"/>
      <c r="H15" s="1"/>
      <c r="I15" s="1"/>
    </row>
    <row r="16" spans="1:9" ht="27.75" customHeight="1" x14ac:dyDescent="0.2">
      <c r="A16" s="14" t="s">
        <v>8</v>
      </c>
      <c r="B16" s="1" t="s">
        <v>21</v>
      </c>
      <c r="C16" s="1"/>
      <c r="D16" s="1"/>
      <c r="E16" s="1"/>
      <c r="F16" s="1"/>
      <c r="G16" s="1"/>
      <c r="H16" s="1"/>
      <c r="I16" s="1"/>
    </row>
    <row r="17" spans="1:9" ht="27.75" customHeight="1" x14ac:dyDescent="0.2">
      <c r="A17" s="14" t="s">
        <v>9</v>
      </c>
      <c r="B17" s="1" t="s">
        <v>22</v>
      </c>
      <c r="C17" s="1"/>
      <c r="D17" s="1"/>
      <c r="E17" s="1"/>
      <c r="F17" s="1"/>
      <c r="G17" s="1"/>
      <c r="H17" s="1"/>
      <c r="I17" s="1"/>
    </row>
    <row r="19" spans="1:9" x14ac:dyDescent="0.2">
      <c r="A19" s="14" t="s">
        <v>23</v>
      </c>
    </row>
    <row r="20" spans="1:9" ht="42" x14ac:dyDescent="0.2">
      <c r="A20" s="17" t="s">
        <v>11</v>
      </c>
      <c r="B20" s="18" t="s">
        <v>12</v>
      </c>
      <c r="C20" s="19" t="s">
        <v>13</v>
      </c>
      <c r="D20" s="20" t="s">
        <v>14</v>
      </c>
      <c r="E20" s="21" t="s">
        <v>15</v>
      </c>
      <c r="F20" s="22" t="s">
        <v>16</v>
      </c>
      <c r="G20" s="23" t="s">
        <v>17</v>
      </c>
    </row>
    <row r="21" spans="1:9" ht="69.75" customHeight="1" x14ac:dyDescent="0.2">
      <c r="A21" s="24" t="s">
        <v>11</v>
      </c>
      <c r="B21" s="24" t="s">
        <v>24</v>
      </c>
      <c r="C21" s="24" t="s">
        <v>25</v>
      </c>
      <c r="D21" s="24" t="s">
        <v>26</v>
      </c>
      <c r="E21" s="24" t="s">
        <v>27</v>
      </c>
      <c r="F21" s="24" t="s">
        <v>28</v>
      </c>
      <c r="G21" s="24" t="s">
        <v>29</v>
      </c>
    </row>
  </sheetData>
  <mergeCells count="3">
    <mergeCell ref="B15:I15"/>
    <mergeCell ref="B16:I16"/>
    <mergeCell ref="B17:I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4"/>
  <sheetViews>
    <sheetView zoomScaleNormal="100" workbookViewId="0">
      <pane xSplit="4" ySplit="4" topLeftCell="E86" activePane="bottomRight" state="frozen"/>
      <selection pane="topRight" activeCell="E1" sqref="E1"/>
      <selection pane="bottomLeft" activeCell="A5" sqref="A5"/>
      <selection pane="bottomRight" activeCell="D86" sqref="D86"/>
    </sheetView>
  </sheetViews>
  <sheetFormatPr baseColWidth="10" defaultColWidth="8.6640625" defaultRowHeight="15" x14ac:dyDescent="0.2"/>
  <cols>
    <col min="1" max="1" width="5" customWidth="1"/>
    <col min="2" max="2" width="15" customWidth="1"/>
    <col min="3" max="3" width="20" customWidth="1"/>
    <col min="4" max="4" width="30" customWidth="1"/>
    <col min="5" max="5" width="48" customWidth="1"/>
    <col min="6" max="6" width="32" customWidth="1"/>
    <col min="7" max="7" width="20" customWidth="1"/>
    <col min="8" max="8" width="30" customWidth="1"/>
    <col min="9" max="9" width="9" customWidth="1"/>
    <col min="10" max="10" width="24" customWidth="1"/>
    <col min="11" max="11" width="11" customWidth="1"/>
    <col min="12" max="12" width="18" customWidth="1"/>
    <col min="13" max="13" width="14" customWidth="1"/>
    <col min="14" max="14" width="10" customWidth="1"/>
  </cols>
  <sheetData>
    <row r="1" spans="1:14" ht="18" x14ac:dyDescent="0.2">
      <c r="A1" s="2" t="s">
        <v>30</v>
      </c>
    </row>
    <row r="2" spans="1:14" x14ac:dyDescent="0.2">
      <c r="A2" s="3" t="s">
        <v>31</v>
      </c>
    </row>
    <row r="4" spans="1:14" ht="30" customHeight="1" x14ac:dyDescent="0.2">
      <c r="A4" s="4" t="s">
        <v>32</v>
      </c>
      <c r="B4" s="4" t="s">
        <v>2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37</v>
      </c>
      <c r="H4" s="4" t="s">
        <v>38</v>
      </c>
      <c r="I4" s="4" t="s">
        <v>39</v>
      </c>
      <c r="J4" s="4" t="s">
        <v>40</v>
      </c>
      <c r="K4" s="4" t="s">
        <v>41</v>
      </c>
      <c r="L4" s="4" t="s">
        <v>42</v>
      </c>
      <c r="M4" s="4" t="s">
        <v>43</v>
      </c>
      <c r="N4" s="4" t="s">
        <v>44</v>
      </c>
    </row>
    <row r="5" spans="1:14" x14ac:dyDescent="0.2">
      <c r="A5" s="25">
        <v>1</v>
      </c>
      <c r="B5" s="26" t="s">
        <v>11</v>
      </c>
      <c r="C5" s="25" t="s">
        <v>11</v>
      </c>
      <c r="D5" s="27" t="s">
        <v>45</v>
      </c>
      <c r="E5" s="25" t="s">
        <v>46</v>
      </c>
      <c r="F5" s="25" t="s">
        <v>47</v>
      </c>
      <c r="G5" s="25" t="s">
        <v>48</v>
      </c>
      <c r="H5" s="25" t="s">
        <v>49</v>
      </c>
      <c r="I5" s="25" t="s">
        <v>7</v>
      </c>
      <c r="J5" s="25" t="s">
        <v>50</v>
      </c>
      <c r="K5" s="28"/>
      <c r="L5" s="28"/>
      <c r="M5" s="29"/>
      <c r="N5" s="30">
        <v>0</v>
      </c>
    </row>
    <row r="6" spans="1:14" x14ac:dyDescent="0.2">
      <c r="A6" s="25">
        <v>2</v>
      </c>
      <c r="B6" s="26" t="s">
        <v>11</v>
      </c>
      <c r="C6" s="25" t="s">
        <v>11</v>
      </c>
      <c r="D6" s="27" t="s">
        <v>51</v>
      </c>
      <c r="E6" s="25" t="s">
        <v>52</v>
      </c>
      <c r="F6" s="25" t="s">
        <v>53</v>
      </c>
      <c r="G6" s="25" t="s">
        <v>54</v>
      </c>
      <c r="H6" s="25" t="s">
        <v>55</v>
      </c>
      <c r="I6" s="25" t="s">
        <v>7</v>
      </c>
      <c r="J6" s="25" t="s">
        <v>50</v>
      </c>
      <c r="K6" s="28"/>
      <c r="L6" s="28"/>
      <c r="M6" s="29"/>
      <c r="N6" s="30">
        <v>0</v>
      </c>
    </row>
    <row r="7" spans="1:14" ht="28" x14ac:dyDescent="0.2">
      <c r="A7" s="25">
        <v>3</v>
      </c>
      <c r="B7" s="26" t="s">
        <v>11</v>
      </c>
      <c r="C7" s="25" t="s">
        <v>11</v>
      </c>
      <c r="D7" s="27" t="s">
        <v>56</v>
      </c>
      <c r="E7" s="25" t="s">
        <v>57</v>
      </c>
      <c r="F7" s="25" t="s">
        <v>58</v>
      </c>
      <c r="G7" s="25" t="s">
        <v>59</v>
      </c>
      <c r="H7" s="25" t="s">
        <v>60</v>
      </c>
      <c r="I7" s="25" t="s">
        <v>7</v>
      </c>
      <c r="J7" s="25" t="s">
        <v>50</v>
      </c>
      <c r="K7" s="28"/>
      <c r="L7" s="28"/>
      <c r="M7" s="29"/>
      <c r="N7" s="30">
        <v>0</v>
      </c>
    </row>
    <row r="8" spans="1:14" x14ac:dyDescent="0.2">
      <c r="A8" s="25">
        <v>4</v>
      </c>
      <c r="B8" s="26" t="s">
        <v>11</v>
      </c>
      <c r="C8" s="25" t="s">
        <v>11</v>
      </c>
      <c r="D8" s="27" t="s">
        <v>61</v>
      </c>
      <c r="E8" s="25" t="s">
        <v>62</v>
      </c>
      <c r="F8" s="25" t="s">
        <v>63</v>
      </c>
      <c r="G8" s="25" t="s">
        <v>59</v>
      </c>
      <c r="H8" s="25" t="s">
        <v>64</v>
      </c>
      <c r="I8" s="25" t="s">
        <v>8</v>
      </c>
      <c r="J8" s="25" t="s">
        <v>50</v>
      </c>
      <c r="K8" s="28"/>
      <c r="L8" s="28"/>
      <c r="M8" s="29"/>
      <c r="N8" s="30">
        <v>0</v>
      </c>
    </row>
    <row r="9" spans="1:14" ht="28" x14ac:dyDescent="0.2">
      <c r="A9" s="25">
        <v>5</v>
      </c>
      <c r="B9" s="26" t="s">
        <v>11</v>
      </c>
      <c r="C9" s="25" t="s">
        <v>11</v>
      </c>
      <c r="D9" s="27" t="s">
        <v>65</v>
      </c>
      <c r="E9" s="25" t="s">
        <v>66</v>
      </c>
      <c r="F9" s="25" t="s">
        <v>67</v>
      </c>
      <c r="G9" s="25" t="s">
        <v>54</v>
      </c>
      <c r="H9" s="25" t="s">
        <v>68</v>
      </c>
      <c r="I9" s="25" t="s">
        <v>8</v>
      </c>
      <c r="J9" s="25" t="s">
        <v>50</v>
      </c>
      <c r="K9" s="28"/>
      <c r="L9" s="28"/>
      <c r="M9" s="29"/>
      <c r="N9" s="30">
        <v>0</v>
      </c>
    </row>
    <row r="10" spans="1:14" ht="28" x14ac:dyDescent="0.2">
      <c r="A10" s="25">
        <v>6</v>
      </c>
      <c r="B10" s="31" t="s">
        <v>12</v>
      </c>
      <c r="C10" s="25" t="s">
        <v>69</v>
      </c>
      <c r="D10" s="27" t="s">
        <v>70</v>
      </c>
      <c r="E10" s="25" t="s">
        <v>71</v>
      </c>
      <c r="F10" s="25" t="s">
        <v>72</v>
      </c>
      <c r="G10" s="25" t="s">
        <v>48</v>
      </c>
      <c r="H10" s="25" t="s">
        <v>73</v>
      </c>
      <c r="I10" s="25" t="s">
        <v>7</v>
      </c>
      <c r="J10" s="25" t="s">
        <v>74</v>
      </c>
      <c r="K10" s="28"/>
      <c r="L10" s="28"/>
      <c r="M10" s="29"/>
      <c r="N10" s="30">
        <v>0</v>
      </c>
    </row>
    <row r="11" spans="1:14" ht="28" x14ac:dyDescent="0.2">
      <c r="A11" s="25">
        <v>7</v>
      </c>
      <c r="B11" s="31" t="s">
        <v>12</v>
      </c>
      <c r="C11" s="25" t="s">
        <v>69</v>
      </c>
      <c r="D11" s="27" t="s">
        <v>75</v>
      </c>
      <c r="E11" s="25" t="s">
        <v>76</v>
      </c>
      <c r="F11" s="25" t="s">
        <v>77</v>
      </c>
      <c r="G11" s="25" t="s">
        <v>48</v>
      </c>
      <c r="H11" s="25" t="s">
        <v>78</v>
      </c>
      <c r="I11" s="25" t="s">
        <v>7</v>
      </c>
      <c r="J11" s="25" t="s">
        <v>12</v>
      </c>
      <c r="K11" s="28"/>
      <c r="L11" s="28"/>
      <c r="M11" s="29"/>
      <c r="N11" s="30">
        <v>0</v>
      </c>
    </row>
    <row r="12" spans="1:14" ht="28" x14ac:dyDescent="0.2">
      <c r="A12" s="25">
        <v>8</v>
      </c>
      <c r="B12" s="31" t="s">
        <v>12</v>
      </c>
      <c r="C12" s="25" t="s">
        <v>69</v>
      </c>
      <c r="D12" s="27" t="s">
        <v>79</v>
      </c>
      <c r="E12" s="25" t="s">
        <v>80</v>
      </c>
      <c r="F12" s="25" t="s">
        <v>81</v>
      </c>
      <c r="G12" s="25" t="s">
        <v>82</v>
      </c>
      <c r="H12" s="25"/>
      <c r="I12" s="25" t="s">
        <v>7</v>
      </c>
      <c r="J12" s="25" t="s">
        <v>12</v>
      </c>
      <c r="K12" s="28"/>
      <c r="L12" s="28"/>
      <c r="M12" s="29"/>
      <c r="N12" s="30">
        <v>0</v>
      </c>
    </row>
    <row r="13" spans="1:14" x14ac:dyDescent="0.2">
      <c r="A13" s="25">
        <v>9</v>
      </c>
      <c r="B13" s="31" t="s">
        <v>12</v>
      </c>
      <c r="C13" s="25" t="s">
        <v>69</v>
      </c>
      <c r="D13" s="27" t="s">
        <v>83</v>
      </c>
      <c r="E13" s="25" t="s">
        <v>84</v>
      </c>
      <c r="F13" s="25" t="s">
        <v>85</v>
      </c>
      <c r="G13" s="25" t="s">
        <v>59</v>
      </c>
      <c r="H13" s="25" t="s">
        <v>86</v>
      </c>
      <c r="I13" s="25" t="s">
        <v>7</v>
      </c>
      <c r="J13" s="25" t="s">
        <v>87</v>
      </c>
      <c r="K13" s="28"/>
      <c r="L13" s="28"/>
      <c r="M13" s="29"/>
      <c r="N13" s="30">
        <v>0</v>
      </c>
    </row>
    <row r="14" spans="1:14" ht="28" x14ac:dyDescent="0.2">
      <c r="A14" s="25">
        <v>10</v>
      </c>
      <c r="B14" s="31" t="s">
        <v>12</v>
      </c>
      <c r="C14" s="25" t="s">
        <v>88</v>
      </c>
      <c r="D14" s="27" t="s">
        <v>89</v>
      </c>
      <c r="E14" s="25" t="s">
        <v>90</v>
      </c>
      <c r="F14" s="25" t="s">
        <v>91</v>
      </c>
      <c r="G14" s="25" t="s">
        <v>82</v>
      </c>
      <c r="H14" s="25"/>
      <c r="I14" s="25" t="s">
        <v>8</v>
      </c>
      <c r="J14" s="25" t="s">
        <v>74</v>
      </c>
      <c r="K14" s="28"/>
      <c r="L14" s="28"/>
      <c r="M14" s="29"/>
      <c r="N14" s="30">
        <v>0</v>
      </c>
    </row>
    <row r="15" spans="1:14" ht="28" x14ac:dyDescent="0.2">
      <c r="A15" s="25">
        <v>11</v>
      </c>
      <c r="B15" s="31" t="s">
        <v>12</v>
      </c>
      <c r="C15" s="25" t="s">
        <v>88</v>
      </c>
      <c r="D15" s="27" t="s">
        <v>92</v>
      </c>
      <c r="E15" s="25" t="s">
        <v>93</v>
      </c>
      <c r="F15" s="25" t="s">
        <v>81</v>
      </c>
      <c r="G15" s="25" t="s">
        <v>82</v>
      </c>
      <c r="H15" s="25"/>
      <c r="I15" s="25" t="s">
        <v>8</v>
      </c>
      <c r="J15" s="25" t="s">
        <v>74</v>
      </c>
      <c r="K15" s="28"/>
      <c r="L15" s="28"/>
      <c r="M15" s="29"/>
      <c r="N15" s="30">
        <v>0</v>
      </c>
    </row>
    <row r="16" spans="1:14" ht="28" x14ac:dyDescent="0.2">
      <c r="A16" s="25">
        <v>12</v>
      </c>
      <c r="B16" s="31" t="s">
        <v>12</v>
      </c>
      <c r="C16" s="25" t="s">
        <v>88</v>
      </c>
      <c r="D16" s="27" t="s">
        <v>94</v>
      </c>
      <c r="E16" s="25" t="s">
        <v>95</v>
      </c>
      <c r="F16" s="25" t="s">
        <v>81</v>
      </c>
      <c r="G16" s="25" t="s">
        <v>82</v>
      </c>
      <c r="H16" s="25"/>
      <c r="I16" s="25" t="s">
        <v>8</v>
      </c>
      <c r="J16" s="25" t="s">
        <v>12</v>
      </c>
      <c r="K16" s="28"/>
      <c r="L16" s="28"/>
      <c r="M16" s="29"/>
      <c r="N16" s="30">
        <v>0</v>
      </c>
    </row>
    <row r="17" spans="1:14" ht="28" x14ac:dyDescent="0.2">
      <c r="A17" s="25">
        <v>13</v>
      </c>
      <c r="B17" s="31" t="s">
        <v>12</v>
      </c>
      <c r="C17" s="25" t="s">
        <v>88</v>
      </c>
      <c r="D17" s="27" t="s">
        <v>96</v>
      </c>
      <c r="E17" s="25" t="s">
        <v>97</v>
      </c>
      <c r="F17" s="25" t="s">
        <v>98</v>
      </c>
      <c r="G17" s="25" t="s">
        <v>99</v>
      </c>
      <c r="H17" s="25" t="s">
        <v>100</v>
      </c>
      <c r="I17" s="25" t="s">
        <v>8</v>
      </c>
      <c r="J17" s="25" t="s">
        <v>74</v>
      </c>
      <c r="K17" s="28"/>
      <c r="L17" s="28"/>
      <c r="M17" s="29"/>
      <c r="N17" s="30">
        <v>0</v>
      </c>
    </row>
    <row r="18" spans="1:14" ht="28" x14ac:dyDescent="0.2">
      <c r="A18" s="25">
        <v>14</v>
      </c>
      <c r="B18" s="31" t="s">
        <v>12</v>
      </c>
      <c r="C18" s="25" t="s">
        <v>101</v>
      </c>
      <c r="D18" s="27" t="s">
        <v>102</v>
      </c>
      <c r="E18" s="25" t="s">
        <v>103</v>
      </c>
      <c r="F18" s="25" t="s">
        <v>81</v>
      </c>
      <c r="G18" s="25" t="s">
        <v>82</v>
      </c>
      <c r="H18" s="25"/>
      <c r="I18" s="25" t="s">
        <v>8</v>
      </c>
      <c r="J18" s="25" t="s">
        <v>12</v>
      </c>
      <c r="K18" s="28"/>
      <c r="L18" s="28"/>
      <c r="M18" s="29"/>
      <c r="N18" s="30">
        <v>0</v>
      </c>
    </row>
    <row r="19" spans="1:14" ht="28" x14ac:dyDescent="0.2">
      <c r="A19" s="25">
        <v>15</v>
      </c>
      <c r="B19" s="31" t="s">
        <v>12</v>
      </c>
      <c r="C19" s="25" t="s">
        <v>101</v>
      </c>
      <c r="D19" s="27" t="s">
        <v>104</v>
      </c>
      <c r="E19" s="25" t="s">
        <v>105</v>
      </c>
      <c r="F19" s="25" t="s">
        <v>81</v>
      </c>
      <c r="G19" s="25" t="s">
        <v>82</v>
      </c>
      <c r="H19" s="25"/>
      <c r="I19" s="25" t="s">
        <v>8</v>
      </c>
      <c r="J19" s="25" t="s">
        <v>12</v>
      </c>
      <c r="K19" s="28"/>
      <c r="L19" s="28"/>
      <c r="M19" s="29"/>
      <c r="N19" s="30">
        <v>0</v>
      </c>
    </row>
    <row r="20" spans="1:14" x14ac:dyDescent="0.2">
      <c r="A20" s="25">
        <v>16</v>
      </c>
      <c r="B20" s="31" t="s">
        <v>12</v>
      </c>
      <c r="C20" s="25" t="s">
        <v>101</v>
      </c>
      <c r="D20" s="27" t="s">
        <v>106</v>
      </c>
      <c r="E20" s="25" t="s">
        <v>107</v>
      </c>
      <c r="F20" s="25" t="s">
        <v>108</v>
      </c>
      <c r="G20" s="25" t="s">
        <v>59</v>
      </c>
      <c r="H20" s="25" t="s">
        <v>109</v>
      </c>
      <c r="I20" s="25" t="s">
        <v>8</v>
      </c>
      <c r="J20" s="25" t="s">
        <v>110</v>
      </c>
      <c r="K20" s="28"/>
      <c r="L20" s="28"/>
      <c r="M20" s="29"/>
      <c r="N20" s="30">
        <v>0</v>
      </c>
    </row>
    <row r="21" spans="1:14" x14ac:dyDescent="0.2">
      <c r="A21" s="25">
        <v>17</v>
      </c>
      <c r="B21" s="32" t="s">
        <v>13</v>
      </c>
      <c r="C21" s="25" t="s">
        <v>111</v>
      </c>
      <c r="D21" s="27" t="s">
        <v>112</v>
      </c>
      <c r="E21" s="25" t="s">
        <v>113</v>
      </c>
      <c r="F21" s="25" t="s">
        <v>114</v>
      </c>
      <c r="G21" s="25" t="s">
        <v>59</v>
      </c>
      <c r="H21" s="25" t="s">
        <v>115</v>
      </c>
      <c r="I21" s="25" t="s">
        <v>7</v>
      </c>
      <c r="J21" s="25" t="s">
        <v>111</v>
      </c>
      <c r="K21" s="28"/>
      <c r="L21" s="28"/>
      <c r="M21" s="29"/>
      <c r="N21" s="30">
        <v>0</v>
      </c>
    </row>
    <row r="22" spans="1:14" ht="28" x14ac:dyDescent="0.2">
      <c r="A22" s="25">
        <v>18</v>
      </c>
      <c r="B22" s="32" t="s">
        <v>13</v>
      </c>
      <c r="C22" s="25" t="s">
        <v>111</v>
      </c>
      <c r="D22" s="27" t="s">
        <v>116</v>
      </c>
      <c r="E22" s="25" t="s">
        <v>117</v>
      </c>
      <c r="F22" s="25" t="s">
        <v>118</v>
      </c>
      <c r="G22" s="25" t="s">
        <v>48</v>
      </c>
      <c r="H22" s="25" t="s">
        <v>119</v>
      </c>
      <c r="I22" s="25" t="s">
        <v>8</v>
      </c>
      <c r="J22" s="25" t="s">
        <v>111</v>
      </c>
      <c r="K22" s="28"/>
      <c r="L22" s="28"/>
      <c r="M22" s="29"/>
      <c r="N22" s="30">
        <v>0</v>
      </c>
    </row>
    <row r="23" spans="1:14" ht="28" x14ac:dyDescent="0.2">
      <c r="A23" s="25">
        <v>19</v>
      </c>
      <c r="B23" s="32" t="s">
        <v>13</v>
      </c>
      <c r="C23" s="25" t="s">
        <v>111</v>
      </c>
      <c r="D23" s="27" t="s">
        <v>120</v>
      </c>
      <c r="E23" s="25" t="s">
        <v>121</v>
      </c>
      <c r="F23" s="25" t="s">
        <v>122</v>
      </c>
      <c r="G23" s="25" t="s">
        <v>48</v>
      </c>
      <c r="H23" s="25" t="s">
        <v>123</v>
      </c>
      <c r="I23" s="25" t="s">
        <v>7</v>
      </c>
      <c r="J23" s="25" t="s">
        <v>111</v>
      </c>
      <c r="K23" s="28"/>
      <c r="L23" s="28"/>
      <c r="M23" s="29"/>
      <c r="N23" s="30">
        <v>0</v>
      </c>
    </row>
    <row r="24" spans="1:14" x14ac:dyDescent="0.2">
      <c r="A24" s="25">
        <v>20</v>
      </c>
      <c r="B24" s="32" t="s">
        <v>13</v>
      </c>
      <c r="C24" s="25" t="s">
        <v>111</v>
      </c>
      <c r="D24" s="27" t="s">
        <v>124</v>
      </c>
      <c r="E24" s="25" t="s">
        <v>125</v>
      </c>
      <c r="F24" s="25" t="s">
        <v>126</v>
      </c>
      <c r="G24" s="25" t="s">
        <v>99</v>
      </c>
      <c r="H24" s="25"/>
      <c r="I24" s="25" t="s">
        <v>7</v>
      </c>
      <c r="J24" s="25" t="s">
        <v>127</v>
      </c>
      <c r="K24" s="28"/>
      <c r="L24" s="28"/>
      <c r="M24" s="29"/>
      <c r="N24" s="30">
        <v>0</v>
      </c>
    </row>
    <row r="25" spans="1:14" x14ac:dyDescent="0.2">
      <c r="A25" s="25">
        <v>21</v>
      </c>
      <c r="B25" s="32" t="s">
        <v>13</v>
      </c>
      <c r="C25" s="25" t="s">
        <v>111</v>
      </c>
      <c r="D25" s="27" t="s">
        <v>128</v>
      </c>
      <c r="E25" s="25" t="s">
        <v>129</v>
      </c>
      <c r="F25" s="25" t="s">
        <v>130</v>
      </c>
      <c r="G25" s="25" t="s">
        <v>82</v>
      </c>
      <c r="H25" s="25"/>
      <c r="I25" s="25" t="s">
        <v>9</v>
      </c>
      <c r="J25" s="25" t="s">
        <v>131</v>
      </c>
      <c r="K25" s="28"/>
      <c r="L25" s="28"/>
      <c r="M25" s="29"/>
      <c r="N25" s="30">
        <v>0</v>
      </c>
    </row>
    <row r="26" spans="1:14" x14ac:dyDescent="0.2">
      <c r="A26" s="25">
        <v>22</v>
      </c>
      <c r="B26" s="32" t="s">
        <v>13</v>
      </c>
      <c r="C26" s="25" t="s">
        <v>111</v>
      </c>
      <c r="D26" s="27" t="s">
        <v>132</v>
      </c>
      <c r="E26" s="25" t="s">
        <v>133</v>
      </c>
      <c r="F26" s="25" t="s">
        <v>134</v>
      </c>
      <c r="G26" s="25" t="s">
        <v>135</v>
      </c>
      <c r="H26" s="25"/>
      <c r="I26" s="25" t="s">
        <v>8</v>
      </c>
      <c r="J26" s="25" t="s">
        <v>135</v>
      </c>
      <c r="K26" s="28"/>
      <c r="L26" s="28"/>
      <c r="M26" s="29"/>
      <c r="N26" s="30">
        <v>0</v>
      </c>
    </row>
    <row r="27" spans="1:14" ht="28" x14ac:dyDescent="0.2">
      <c r="A27" s="25">
        <v>23</v>
      </c>
      <c r="B27" s="32" t="s">
        <v>13</v>
      </c>
      <c r="C27" s="25" t="s">
        <v>136</v>
      </c>
      <c r="D27" s="27" t="s">
        <v>137</v>
      </c>
      <c r="E27" s="25" t="s">
        <v>138</v>
      </c>
      <c r="F27" s="25" t="s">
        <v>139</v>
      </c>
      <c r="G27" s="25" t="s">
        <v>82</v>
      </c>
      <c r="H27" s="25"/>
      <c r="I27" s="25" t="s">
        <v>7</v>
      </c>
      <c r="J27" s="25" t="s">
        <v>140</v>
      </c>
      <c r="K27" s="28"/>
      <c r="L27" s="28"/>
      <c r="M27" s="29"/>
      <c r="N27" s="30">
        <v>0</v>
      </c>
    </row>
    <row r="28" spans="1:14" x14ac:dyDescent="0.2">
      <c r="A28" s="25">
        <v>24</v>
      </c>
      <c r="B28" s="32" t="s">
        <v>13</v>
      </c>
      <c r="C28" s="25" t="s">
        <v>136</v>
      </c>
      <c r="D28" s="27" t="s">
        <v>141</v>
      </c>
      <c r="E28" s="25" t="s">
        <v>142</v>
      </c>
      <c r="F28" s="25" t="s">
        <v>143</v>
      </c>
      <c r="G28" s="25" t="s">
        <v>82</v>
      </c>
      <c r="H28" s="25"/>
      <c r="I28" s="25" t="s">
        <v>7</v>
      </c>
      <c r="J28" s="25" t="s">
        <v>14</v>
      </c>
      <c r="K28" s="28"/>
      <c r="L28" s="28"/>
      <c r="M28" s="29"/>
      <c r="N28" s="30">
        <v>0</v>
      </c>
    </row>
    <row r="29" spans="1:14" x14ac:dyDescent="0.2">
      <c r="A29" s="25">
        <v>25</v>
      </c>
      <c r="B29" s="32" t="s">
        <v>13</v>
      </c>
      <c r="C29" s="25" t="s">
        <v>136</v>
      </c>
      <c r="D29" s="27" t="s">
        <v>144</v>
      </c>
      <c r="E29" s="25" t="s">
        <v>145</v>
      </c>
      <c r="F29" s="25" t="s">
        <v>146</v>
      </c>
      <c r="G29" s="25" t="s">
        <v>48</v>
      </c>
      <c r="H29" s="25" t="s">
        <v>147</v>
      </c>
      <c r="I29" s="25" t="s">
        <v>8</v>
      </c>
      <c r="J29" s="25" t="s">
        <v>148</v>
      </c>
      <c r="K29" s="28"/>
      <c r="L29" s="28"/>
      <c r="M29" s="29"/>
      <c r="N29" s="30">
        <v>0</v>
      </c>
    </row>
    <row r="30" spans="1:14" x14ac:dyDescent="0.2">
      <c r="A30" s="25">
        <v>26</v>
      </c>
      <c r="B30" s="32" t="s">
        <v>13</v>
      </c>
      <c r="C30" s="25" t="s">
        <v>149</v>
      </c>
      <c r="D30" s="27" t="s">
        <v>150</v>
      </c>
      <c r="E30" s="25" t="s">
        <v>151</v>
      </c>
      <c r="F30" s="25" t="s">
        <v>152</v>
      </c>
      <c r="G30" s="25" t="s">
        <v>59</v>
      </c>
      <c r="H30" s="25" t="s">
        <v>153</v>
      </c>
      <c r="I30" s="25" t="s">
        <v>7</v>
      </c>
      <c r="J30" s="25" t="s">
        <v>154</v>
      </c>
      <c r="K30" s="28"/>
      <c r="L30" s="28"/>
      <c r="M30" s="29"/>
      <c r="N30" s="30">
        <v>0</v>
      </c>
    </row>
    <row r="31" spans="1:14" ht="28" x14ac:dyDescent="0.2">
      <c r="A31" s="25">
        <v>27</v>
      </c>
      <c r="B31" s="32" t="s">
        <v>13</v>
      </c>
      <c r="C31" s="25" t="s">
        <v>149</v>
      </c>
      <c r="D31" s="27" t="s">
        <v>155</v>
      </c>
      <c r="E31" s="25" t="s">
        <v>156</v>
      </c>
      <c r="F31" s="25" t="s">
        <v>157</v>
      </c>
      <c r="G31" s="25" t="s">
        <v>158</v>
      </c>
      <c r="H31" s="25" t="s">
        <v>159</v>
      </c>
      <c r="I31" s="25" t="s">
        <v>7</v>
      </c>
      <c r="J31" s="25" t="s">
        <v>149</v>
      </c>
      <c r="K31" s="28"/>
      <c r="L31" s="28"/>
      <c r="M31" s="29"/>
      <c r="N31" s="30">
        <v>0</v>
      </c>
    </row>
    <row r="32" spans="1:14" x14ac:dyDescent="0.2">
      <c r="A32" s="25">
        <v>28</v>
      </c>
      <c r="B32" s="32" t="s">
        <v>13</v>
      </c>
      <c r="C32" s="25" t="s">
        <v>149</v>
      </c>
      <c r="D32" s="27" t="s">
        <v>160</v>
      </c>
      <c r="E32" s="25" t="s">
        <v>161</v>
      </c>
      <c r="F32" s="25" t="s">
        <v>162</v>
      </c>
      <c r="G32" s="25" t="s">
        <v>158</v>
      </c>
      <c r="H32" s="25" t="s">
        <v>163</v>
      </c>
      <c r="I32" s="25" t="s">
        <v>7</v>
      </c>
      <c r="J32" s="25" t="s">
        <v>164</v>
      </c>
      <c r="K32" s="28"/>
      <c r="L32" s="28"/>
      <c r="M32" s="29"/>
      <c r="N32" s="30">
        <v>0</v>
      </c>
    </row>
    <row r="33" spans="1:14" ht="28" x14ac:dyDescent="0.2">
      <c r="A33" s="25">
        <v>29</v>
      </c>
      <c r="B33" s="32" t="s">
        <v>13</v>
      </c>
      <c r="C33" s="25" t="s">
        <v>165</v>
      </c>
      <c r="D33" s="27" t="s">
        <v>166</v>
      </c>
      <c r="E33" s="25" t="s">
        <v>167</v>
      </c>
      <c r="F33" s="25" t="s">
        <v>168</v>
      </c>
      <c r="G33" s="25" t="s">
        <v>54</v>
      </c>
      <c r="H33" s="25" t="s">
        <v>169</v>
      </c>
      <c r="I33" s="25" t="s">
        <v>7</v>
      </c>
      <c r="J33" s="25" t="s">
        <v>165</v>
      </c>
      <c r="K33" s="28"/>
      <c r="L33" s="28"/>
      <c r="M33" s="29"/>
      <c r="N33" s="30">
        <v>0</v>
      </c>
    </row>
    <row r="34" spans="1:14" x14ac:dyDescent="0.2">
      <c r="A34" s="25">
        <v>30</v>
      </c>
      <c r="B34" s="32" t="s">
        <v>13</v>
      </c>
      <c r="C34" s="25" t="s">
        <v>165</v>
      </c>
      <c r="D34" s="27" t="s">
        <v>170</v>
      </c>
      <c r="E34" s="25" t="s">
        <v>171</v>
      </c>
      <c r="F34" s="25" t="s">
        <v>172</v>
      </c>
      <c r="G34" s="25" t="s">
        <v>59</v>
      </c>
      <c r="H34" s="25" t="s">
        <v>173</v>
      </c>
      <c r="I34" s="25" t="s">
        <v>7</v>
      </c>
      <c r="J34" s="25" t="s">
        <v>165</v>
      </c>
      <c r="K34" s="28"/>
      <c r="L34" s="28"/>
      <c r="M34" s="29"/>
      <c r="N34" s="30">
        <v>0</v>
      </c>
    </row>
    <row r="35" spans="1:14" x14ac:dyDescent="0.2">
      <c r="A35" s="25">
        <v>31</v>
      </c>
      <c r="B35" s="32" t="s">
        <v>13</v>
      </c>
      <c r="C35" s="25" t="s">
        <v>165</v>
      </c>
      <c r="D35" s="27" t="s">
        <v>174</v>
      </c>
      <c r="E35" s="25" t="s">
        <v>175</v>
      </c>
      <c r="F35" s="25" t="s">
        <v>176</v>
      </c>
      <c r="G35" s="25" t="s">
        <v>59</v>
      </c>
      <c r="H35" s="25" t="s">
        <v>177</v>
      </c>
      <c r="I35" s="25" t="s">
        <v>7</v>
      </c>
      <c r="J35" s="25" t="s">
        <v>178</v>
      </c>
      <c r="K35" s="28"/>
      <c r="L35" s="28"/>
      <c r="M35" s="29"/>
      <c r="N35" s="30">
        <v>0</v>
      </c>
    </row>
    <row r="36" spans="1:14" ht="28" x14ac:dyDescent="0.2">
      <c r="A36" s="25">
        <v>32</v>
      </c>
      <c r="B36" s="32" t="s">
        <v>13</v>
      </c>
      <c r="C36" s="25" t="s">
        <v>165</v>
      </c>
      <c r="D36" s="27" t="s">
        <v>179</v>
      </c>
      <c r="E36" s="25" t="s">
        <v>180</v>
      </c>
      <c r="F36" s="25" t="s">
        <v>181</v>
      </c>
      <c r="G36" s="25" t="s">
        <v>48</v>
      </c>
      <c r="H36" s="25" t="s">
        <v>182</v>
      </c>
      <c r="I36" s="25" t="s">
        <v>7</v>
      </c>
      <c r="J36" s="25" t="s">
        <v>183</v>
      </c>
      <c r="K36" s="28"/>
      <c r="L36" s="28"/>
      <c r="M36" s="29"/>
      <c r="N36" s="30">
        <v>0</v>
      </c>
    </row>
    <row r="37" spans="1:14" ht="28" x14ac:dyDescent="0.2">
      <c r="A37" s="25">
        <v>33</v>
      </c>
      <c r="B37" s="32" t="s">
        <v>13</v>
      </c>
      <c r="C37" s="25" t="s">
        <v>165</v>
      </c>
      <c r="D37" s="27" t="s">
        <v>184</v>
      </c>
      <c r="E37" s="25" t="s">
        <v>185</v>
      </c>
      <c r="F37" s="25" t="s">
        <v>186</v>
      </c>
      <c r="G37" s="25" t="s">
        <v>82</v>
      </c>
      <c r="H37" s="25"/>
      <c r="I37" s="25" t="s">
        <v>8</v>
      </c>
      <c r="J37" s="25" t="s">
        <v>165</v>
      </c>
      <c r="K37" s="28"/>
      <c r="L37" s="28"/>
      <c r="M37" s="29"/>
      <c r="N37" s="30">
        <v>0</v>
      </c>
    </row>
    <row r="38" spans="1:14" x14ac:dyDescent="0.2">
      <c r="A38" s="25">
        <v>34</v>
      </c>
      <c r="B38" s="32" t="s">
        <v>13</v>
      </c>
      <c r="C38" s="25" t="s">
        <v>165</v>
      </c>
      <c r="D38" s="27" t="s">
        <v>187</v>
      </c>
      <c r="E38" s="25" t="s">
        <v>188</v>
      </c>
      <c r="F38" s="25" t="s">
        <v>189</v>
      </c>
      <c r="G38" s="25" t="s">
        <v>82</v>
      </c>
      <c r="H38" s="25"/>
      <c r="I38" s="25" t="s">
        <v>8</v>
      </c>
      <c r="J38" s="25" t="s">
        <v>165</v>
      </c>
      <c r="K38" s="28"/>
      <c r="L38" s="28"/>
      <c r="M38" s="29"/>
      <c r="N38" s="30">
        <v>0</v>
      </c>
    </row>
    <row r="39" spans="1:14" x14ac:dyDescent="0.2">
      <c r="A39" s="25">
        <v>35</v>
      </c>
      <c r="B39" s="32" t="s">
        <v>13</v>
      </c>
      <c r="C39" s="25" t="s">
        <v>165</v>
      </c>
      <c r="D39" s="27" t="s">
        <v>190</v>
      </c>
      <c r="E39" s="25" t="s">
        <v>191</v>
      </c>
      <c r="F39" s="25" t="s">
        <v>192</v>
      </c>
      <c r="G39" s="25" t="s">
        <v>59</v>
      </c>
      <c r="H39" s="25" t="s">
        <v>193</v>
      </c>
      <c r="I39" s="25" t="s">
        <v>8</v>
      </c>
      <c r="J39" s="25" t="s">
        <v>194</v>
      </c>
      <c r="K39" s="28"/>
      <c r="L39" s="28"/>
      <c r="M39" s="29"/>
      <c r="N39" s="30">
        <v>0</v>
      </c>
    </row>
    <row r="40" spans="1:14" ht="28" x14ac:dyDescent="0.2">
      <c r="A40" s="25">
        <v>36</v>
      </c>
      <c r="B40" s="33" t="s">
        <v>14</v>
      </c>
      <c r="C40" s="25" t="s">
        <v>195</v>
      </c>
      <c r="D40" s="27" t="s">
        <v>196</v>
      </c>
      <c r="E40" s="25" t="s">
        <v>197</v>
      </c>
      <c r="F40" s="25" t="s">
        <v>198</v>
      </c>
      <c r="G40" s="25" t="s">
        <v>59</v>
      </c>
      <c r="H40" s="25" t="s">
        <v>199</v>
      </c>
      <c r="I40" s="25" t="s">
        <v>7</v>
      </c>
      <c r="J40" s="25" t="s">
        <v>195</v>
      </c>
      <c r="K40" s="28"/>
      <c r="L40" s="28"/>
      <c r="M40" s="29"/>
      <c r="N40" s="30">
        <v>0</v>
      </c>
    </row>
    <row r="41" spans="1:14" x14ac:dyDescent="0.2">
      <c r="A41" s="25">
        <v>37</v>
      </c>
      <c r="B41" s="33" t="s">
        <v>14</v>
      </c>
      <c r="C41" s="25" t="s">
        <v>195</v>
      </c>
      <c r="D41" s="27" t="s">
        <v>200</v>
      </c>
      <c r="E41" s="25" t="s">
        <v>201</v>
      </c>
      <c r="F41" s="25" t="s">
        <v>202</v>
      </c>
      <c r="G41" s="25" t="s">
        <v>59</v>
      </c>
      <c r="H41" s="25" t="s">
        <v>203</v>
      </c>
      <c r="I41" s="25" t="s">
        <v>7</v>
      </c>
      <c r="J41" s="25" t="s">
        <v>195</v>
      </c>
      <c r="K41" s="28"/>
      <c r="L41" s="28"/>
      <c r="M41" s="29"/>
      <c r="N41" s="30">
        <v>0</v>
      </c>
    </row>
    <row r="42" spans="1:14" ht="28" x14ac:dyDescent="0.2">
      <c r="A42" s="25">
        <v>38</v>
      </c>
      <c r="B42" s="33" t="s">
        <v>14</v>
      </c>
      <c r="C42" s="25" t="s">
        <v>195</v>
      </c>
      <c r="D42" s="27" t="s">
        <v>204</v>
      </c>
      <c r="E42" s="25" t="s">
        <v>205</v>
      </c>
      <c r="F42" s="25" t="s">
        <v>206</v>
      </c>
      <c r="G42" s="25" t="s">
        <v>54</v>
      </c>
      <c r="H42" s="25" t="s">
        <v>207</v>
      </c>
      <c r="I42" s="25" t="s">
        <v>7</v>
      </c>
      <c r="J42" s="25" t="s">
        <v>208</v>
      </c>
      <c r="K42" s="28"/>
      <c r="L42" s="28"/>
      <c r="M42" s="29"/>
      <c r="N42" s="30">
        <v>0</v>
      </c>
    </row>
    <row r="43" spans="1:14" x14ac:dyDescent="0.2">
      <c r="A43" s="25">
        <v>39</v>
      </c>
      <c r="B43" s="33" t="s">
        <v>14</v>
      </c>
      <c r="C43" s="25" t="s">
        <v>195</v>
      </c>
      <c r="D43" s="27" t="s">
        <v>209</v>
      </c>
      <c r="E43" s="25" t="s">
        <v>210</v>
      </c>
      <c r="F43" s="25" t="s">
        <v>211</v>
      </c>
      <c r="G43" s="25" t="s">
        <v>59</v>
      </c>
      <c r="H43" s="25" t="s">
        <v>212</v>
      </c>
      <c r="I43" s="25" t="s">
        <v>7</v>
      </c>
      <c r="J43" s="25" t="s">
        <v>213</v>
      </c>
      <c r="K43" s="28"/>
      <c r="L43" s="28"/>
      <c r="M43" s="29"/>
      <c r="N43" s="30">
        <v>0</v>
      </c>
    </row>
    <row r="44" spans="1:14" ht="28" x14ac:dyDescent="0.2">
      <c r="A44" s="25">
        <v>40</v>
      </c>
      <c r="B44" s="33" t="s">
        <v>14</v>
      </c>
      <c r="C44" s="25" t="s">
        <v>195</v>
      </c>
      <c r="D44" s="27" t="s">
        <v>214</v>
      </c>
      <c r="E44" s="25" t="s">
        <v>215</v>
      </c>
      <c r="F44" s="25" t="s">
        <v>216</v>
      </c>
      <c r="G44" s="25" t="s">
        <v>48</v>
      </c>
      <c r="H44" s="25" t="s">
        <v>217</v>
      </c>
      <c r="I44" s="25" t="s">
        <v>7</v>
      </c>
      <c r="J44" s="25" t="s">
        <v>195</v>
      </c>
      <c r="K44" s="28"/>
      <c r="L44" s="28"/>
      <c r="M44" s="29"/>
      <c r="N44" s="30">
        <v>0</v>
      </c>
    </row>
    <row r="45" spans="1:14" ht="28" x14ac:dyDescent="0.2">
      <c r="A45" s="25">
        <v>41</v>
      </c>
      <c r="B45" s="33" t="s">
        <v>14</v>
      </c>
      <c r="C45" s="25" t="s">
        <v>195</v>
      </c>
      <c r="D45" s="27" t="s">
        <v>218</v>
      </c>
      <c r="E45" s="25" t="s">
        <v>219</v>
      </c>
      <c r="F45" s="25" t="s">
        <v>220</v>
      </c>
      <c r="G45" s="25" t="s">
        <v>82</v>
      </c>
      <c r="H45" s="25"/>
      <c r="I45" s="25" t="s">
        <v>7</v>
      </c>
      <c r="J45" s="25" t="s">
        <v>208</v>
      </c>
      <c r="K45" s="28"/>
      <c r="L45" s="28"/>
      <c r="M45" s="29"/>
      <c r="N45" s="30">
        <v>0</v>
      </c>
    </row>
    <row r="46" spans="1:14" x14ac:dyDescent="0.2">
      <c r="A46" s="25">
        <v>42</v>
      </c>
      <c r="B46" s="33" t="s">
        <v>14</v>
      </c>
      <c r="C46" s="25" t="s">
        <v>195</v>
      </c>
      <c r="D46" s="27" t="s">
        <v>221</v>
      </c>
      <c r="E46" s="25" t="s">
        <v>222</v>
      </c>
      <c r="F46" s="25" t="s">
        <v>223</v>
      </c>
      <c r="G46" s="25" t="s">
        <v>59</v>
      </c>
      <c r="H46" s="25" t="s">
        <v>224</v>
      </c>
      <c r="I46" s="25" t="s">
        <v>7</v>
      </c>
      <c r="J46" s="25" t="s">
        <v>195</v>
      </c>
      <c r="K46" s="28"/>
      <c r="L46" s="28"/>
      <c r="M46" s="29"/>
      <c r="N46" s="30">
        <v>0</v>
      </c>
    </row>
    <row r="47" spans="1:14" ht="28" x14ac:dyDescent="0.2">
      <c r="A47" s="25">
        <v>43</v>
      </c>
      <c r="B47" s="33" t="s">
        <v>14</v>
      </c>
      <c r="C47" s="25" t="s">
        <v>225</v>
      </c>
      <c r="D47" s="27" t="s">
        <v>226</v>
      </c>
      <c r="E47" s="25" t="s">
        <v>227</v>
      </c>
      <c r="F47" s="25" t="s">
        <v>228</v>
      </c>
      <c r="G47" s="25" t="s">
        <v>59</v>
      </c>
      <c r="H47" s="25" t="s">
        <v>229</v>
      </c>
      <c r="I47" s="25" t="s">
        <v>7</v>
      </c>
      <c r="J47" s="25" t="s">
        <v>230</v>
      </c>
      <c r="K47" s="28"/>
      <c r="L47" s="28"/>
      <c r="M47" s="29"/>
      <c r="N47" s="30">
        <v>0</v>
      </c>
    </row>
    <row r="48" spans="1:14" x14ac:dyDescent="0.2">
      <c r="A48" s="25">
        <v>44</v>
      </c>
      <c r="B48" s="33" t="s">
        <v>14</v>
      </c>
      <c r="C48" s="25" t="s">
        <v>225</v>
      </c>
      <c r="D48" s="27" t="s">
        <v>231</v>
      </c>
      <c r="E48" s="25" t="s">
        <v>232</v>
      </c>
      <c r="F48" s="25" t="s">
        <v>233</v>
      </c>
      <c r="G48" s="25" t="s">
        <v>59</v>
      </c>
      <c r="H48" s="25" t="s">
        <v>234</v>
      </c>
      <c r="I48" s="25" t="s">
        <v>7</v>
      </c>
      <c r="J48" s="25" t="s">
        <v>230</v>
      </c>
      <c r="K48" s="28"/>
      <c r="L48" s="28"/>
      <c r="M48" s="29"/>
      <c r="N48" s="30">
        <v>0</v>
      </c>
    </row>
    <row r="49" spans="1:14" x14ac:dyDescent="0.2">
      <c r="A49" s="25">
        <v>45</v>
      </c>
      <c r="B49" s="33" t="s">
        <v>14</v>
      </c>
      <c r="C49" s="25" t="s">
        <v>225</v>
      </c>
      <c r="D49" s="27" t="s">
        <v>235</v>
      </c>
      <c r="E49" s="25" t="s">
        <v>236</v>
      </c>
      <c r="F49" s="25" t="s">
        <v>237</v>
      </c>
      <c r="G49" s="25" t="s">
        <v>59</v>
      </c>
      <c r="H49" s="25" t="s">
        <v>238</v>
      </c>
      <c r="I49" s="25" t="s">
        <v>7</v>
      </c>
      <c r="J49" s="25" t="s">
        <v>239</v>
      </c>
      <c r="K49" s="28"/>
      <c r="L49" s="28"/>
      <c r="M49" s="29"/>
      <c r="N49" s="30">
        <v>0</v>
      </c>
    </row>
    <row r="50" spans="1:14" x14ac:dyDescent="0.2">
      <c r="A50" s="25">
        <v>46</v>
      </c>
      <c r="B50" s="33" t="s">
        <v>14</v>
      </c>
      <c r="C50" s="25" t="s">
        <v>225</v>
      </c>
      <c r="D50" s="27" t="s">
        <v>240</v>
      </c>
      <c r="E50" s="25" t="s">
        <v>241</v>
      </c>
      <c r="F50" s="25" t="s">
        <v>242</v>
      </c>
      <c r="G50" s="25" t="s">
        <v>59</v>
      </c>
      <c r="H50" s="25" t="s">
        <v>243</v>
      </c>
      <c r="I50" s="25" t="s">
        <v>7</v>
      </c>
      <c r="J50" s="25" t="s">
        <v>213</v>
      </c>
      <c r="K50" s="28"/>
      <c r="L50" s="28"/>
      <c r="M50" s="29"/>
      <c r="N50" s="30">
        <v>0</v>
      </c>
    </row>
    <row r="51" spans="1:14" x14ac:dyDescent="0.2">
      <c r="A51" s="25">
        <v>47</v>
      </c>
      <c r="B51" s="33" t="s">
        <v>14</v>
      </c>
      <c r="C51" s="25" t="s">
        <v>225</v>
      </c>
      <c r="D51" s="27" t="s">
        <v>244</v>
      </c>
      <c r="E51" s="25" t="s">
        <v>245</v>
      </c>
      <c r="F51" s="25" t="s">
        <v>246</v>
      </c>
      <c r="G51" s="25" t="s">
        <v>99</v>
      </c>
      <c r="H51" s="25"/>
      <c r="I51" s="25" t="s">
        <v>8</v>
      </c>
      <c r="J51" s="25" t="s">
        <v>14</v>
      </c>
      <c r="K51" s="28"/>
      <c r="L51" s="28"/>
      <c r="M51" s="29"/>
      <c r="N51" s="30">
        <v>0</v>
      </c>
    </row>
    <row r="52" spans="1:14" x14ac:dyDescent="0.2">
      <c r="A52" s="25">
        <v>48</v>
      </c>
      <c r="B52" s="33" t="s">
        <v>14</v>
      </c>
      <c r="C52" s="25" t="s">
        <v>225</v>
      </c>
      <c r="D52" s="27" t="s">
        <v>247</v>
      </c>
      <c r="E52" s="25" t="s">
        <v>248</v>
      </c>
      <c r="F52" s="25" t="s">
        <v>249</v>
      </c>
      <c r="G52" s="25" t="s">
        <v>99</v>
      </c>
      <c r="H52" s="25"/>
      <c r="I52" s="25" t="s">
        <v>8</v>
      </c>
      <c r="J52" s="25" t="s">
        <v>14</v>
      </c>
      <c r="K52" s="28"/>
      <c r="L52" s="28"/>
      <c r="M52" s="29"/>
      <c r="N52" s="30">
        <v>0</v>
      </c>
    </row>
    <row r="53" spans="1:14" x14ac:dyDescent="0.2">
      <c r="A53" s="25">
        <v>49</v>
      </c>
      <c r="B53" s="33" t="s">
        <v>14</v>
      </c>
      <c r="C53" s="25" t="s">
        <v>250</v>
      </c>
      <c r="D53" s="27" t="s">
        <v>251</v>
      </c>
      <c r="E53" s="25" t="s">
        <v>252</v>
      </c>
      <c r="F53" s="25" t="s">
        <v>253</v>
      </c>
      <c r="G53" s="25" t="s">
        <v>82</v>
      </c>
      <c r="H53" s="25"/>
      <c r="I53" s="25" t="s">
        <v>7</v>
      </c>
      <c r="J53" s="25" t="s">
        <v>254</v>
      </c>
      <c r="K53" s="28"/>
      <c r="L53" s="28"/>
      <c r="M53" s="29"/>
      <c r="N53" s="30">
        <v>0</v>
      </c>
    </row>
    <row r="54" spans="1:14" x14ac:dyDescent="0.2">
      <c r="A54" s="25">
        <v>50</v>
      </c>
      <c r="B54" s="33" t="s">
        <v>14</v>
      </c>
      <c r="C54" s="25" t="s">
        <v>250</v>
      </c>
      <c r="D54" s="27" t="s">
        <v>255</v>
      </c>
      <c r="E54" s="25" t="s">
        <v>256</v>
      </c>
      <c r="F54" s="25" t="s">
        <v>257</v>
      </c>
      <c r="G54" s="25" t="s">
        <v>82</v>
      </c>
      <c r="H54" s="25"/>
      <c r="I54" s="25" t="s">
        <v>7</v>
      </c>
      <c r="J54" s="25" t="s">
        <v>258</v>
      </c>
      <c r="K54" s="28"/>
      <c r="L54" s="28"/>
      <c r="M54" s="29"/>
      <c r="N54" s="30">
        <v>0</v>
      </c>
    </row>
    <row r="55" spans="1:14" x14ac:dyDescent="0.2">
      <c r="A55" s="25">
        <v>51</v>
      </c>
      <c r="B55" s="33" t="s">
        <v>14</v>
      </c>
      <c r="C55" s="25" t="s">
        <v>250</v>
      </c>
      <c r="D55" s="27" t="s">
        <v>259</v>
      </c>
      <c r="E55" s="25" t="s">
        <v>260</v>
      </c>
      <c r="F55" s="25" t="s">
        <v>261</v>
      </c>
      <c r="G55" s="25" t="s">
        <v>82</v>
      </c>
      <c r="H55" s="25"/>
      <c r="I55" s="25" t="s">
        <v>7</v>
      </c>
      <c r="J55" s="25" t="s">
        <v>254</v>
      </c>
      <c r="K55" s="28"/>
      <c r="L55" s="28"/>
      <c r="M55" s="29"/>
      <c r="N55" s="30">
        <v>0</v>
      </c>
    </row>
    <row r="56" spans="1:14" x14ac:dyDescent="0.2">
      <c r="A56" s="25">
        <v>52</v>
      </c>
      <c r="B56" s="33" t="s">
        <v>14</v>
      </c>
      <c r="C56" s="25" t="s">
        <v>250</v>
      </c>
      <c r="D56" s="27" t="s">
        <v>262</v>
      </c>
      <c r="E56" s="25" t="s">
        <v>263</v>
      </c>
      <c r="F56" s="25" t="s">
        <v>264</v>
      </c>
      <c r="G56" s="25" t="s">
        <v>82</v>
      </c>
      <c r="H56" s="25"/>
      <c r="I56" s="25" t="s">
        <v>8</v>
      </c>
      <c r="J56" s="25" t="s">
        <v>12</v>
      </c>
      <c r="K56" s="28"/>
      <c r="L56" s="28"/>
      <c r="M56" s="29"/>
      <c r="N56" s="30">
        <v>0</v>
      </c>
    </row>
    <row r="57" spans="1:14" x14ac:dyDescent="0.2">
      <c r="A57" s="25">
        <v>53</v>
      </c>
      <c r="B57" s="33" t="s">
        <v>14</v>
      </c>
      <c r="C57" s="25" t="s">
        <v>265</v>
      </c>
      <c r="D57" s="27" t="s">
        <v>266</v>
      </c>
      <c r="E57" s="25" t="s">
        <v>267</v>
      </c>
      <c r="F57" s="25" t="s">
        <v>268</v>
      </c>
      <c r="G57" s="25" t="s">
        <v>59</v>
      </c>
      <c r="H57" s="25" t="s">
        <v>163</v>
      </c>
      <c r="I57" s="25" t="s">
        <v>7</v>
      </c>
      <c r="J57" s="25" t="s">
        <v>265</v>
      </c>
      <c r="K57" s="28"/>
      <c r="L57" s="28"/>
      <c r="M57" s="29"/>
      <c r="N57" s="30">
        <v>0</v>
      </c>
    </row>
    <row r="58" spans="1:14" x14ac:dyDescent="0.2">
      <c r="A58" s="25">
        <v>54</v>
      </c>
      <c r="B58" s="33" t="s">
        <v>14</v>
      </c>
      <c r="C58" s="25" t="s">
        <v>265</v>
      </c>
      <c r="D58" s="27" t="s">
        <v>269</v>
      </c>
      <c r="E58" s="25" t="s">
        <v>270</v>
      </c>
      <c r="F58" s="25" t="s">
        <v>271</v>
      </c>
      <c r="G58" s="25" t="s">
        <v>59</v>
      </c>
      <c r="H58" s="25" t="s">
        <v>272</v>
      </c>
      <c r="I58" s="25" t="s">
        <v>7</v>
      </c>
      <c r="J58" s="25" t="s">
        <v>265</v>
      </c>
      <c r="K58" s="28"/>
      <c r="L58" s="28"/>
      <c r="M58" s="29"/>
      <c r="N58" s="30">
        <v>0</v>
      </c>
    </row>
    <row r="59" spans="1:14" x14ac:dyDescent="0.2">
      <c r="A59" s="25">
        <v>55</v>
      </c>
      <c r="B59" s="33" t="s">
        <v>14</v>
      </c>
      <c r="C59" s="25" t="s">
        <v>265</v>
      </c>
      <c r="D59" s="27" t="s">
        <v>273</v>
      </c>
      <c r="E59" s="25" t="s">
        <v>274</v>
      </c>
      <c r="F59" s="25" t="s">
        <v>275</v>
      </c>
      <c r="G59" s="25" t="s">
        <v>59</v>
      </c>
      <c r="H59" s="25" t="s">
        <v>276</v>
      </c>
      <c r="I59" s="25" t="s">
        <v>7</v>
      </c>
      <c r="J59" s="25" t="s">
        <v>265</v>
      </c>
      <c r="K59" s="28"/>
      <c r="L59" s="28"/>
      <c r="M59" s="29"/>
      <c r="N59" s="30">
        <v>0</v>
      </c>
    </row>
    <row r="60" spans="1:14" ht="28" x14ac:dyDescent="0.2">
      <c r="A60" s="25">
        <v>56</v>
      </c>
      <c r="B60" s="33" t="s">
        <v>14</v>
      </c>
      <c r="C60" s="25" t="s">
        <v>265</v>
      </c>
      <c r="D60" s="27" t="s">
        <v>277</v>
      </c>
      <c r="E60" s="25" t="s">
        <v>278</v>
      </c>
      <c r="F60" s="25" t="s">
        <v>279</v>
      </c>
      <c r="G60" s="25" t="s">
        <v>82</v>
      </c>
      <c r="H60" s="25"/>
      <c r="I60" s="25" t="s">
        <v>7</v>
      </c>
      <c r="J60" s="25" t="s">
        <v>265</v>
      </c>
      <c r="K60" s="28"/>
      <c r="L60" s="28"/>
      <c r="M60" s="29"/>
      <c r="N60" s="30">
        <v>0</v>
      </c>
    </row>
    <row r="61" spans="1:14" ht="28" x14ac:dyDescent="0.2">
      <c r="A61" s="25">
        <v>57</v>
      </c>
      <c r="B61" s="33" t="s">
        <v>14</v>
      </c>
      <c r="C61" s="25" t="s">
        <v>265</v>
      </c>
      <c r="D61" s="27" t="s">
        <v>280</v>
      </c>
      <c r="E61" s="25" t="s">
        <v>281</v>
      </c>
      <c r="F61" s="25" t="s">
        <v>279</v>
      </c>
      <c r="G61" s="25" t="s">
        <v>82</v>
      </c>
      <c r="H61" s="25"/>
      <c r="I61" s="25" t="s">
        <v>8</v>
      </c>
      <c r="J61" s="25" t="s">
        <v>282</v>
      </c>
      <c r="K61" s="28"/>
      <c r="L61" s="28"/>
      <c r="M61" s="29"/>
      <c r="N61" s="30">
        <v>0</v>
      </c>
    </row>
    <row r="62" spans="1:14" ht="28" x14ac:dyDescent="0.2">
      <c r="A62" s="25">
        <v>58</v>
      </c>
      <c r="B62" s="33" t="s">
        <v>14</v>
      </c>
      <c r="C62" s="25" t="s">
        <v>265</v>
      </c>
      <c r="D62" s="27" t="s">
        <v>283</v>
      </c>
      <c r="E62" s="25" t="s">
        <v>284</v>
      </c>
      <c r="F62" s="25" t="s">
        <v>279</v>
      </c>
      <c r="G62" s="25" t="s">
        <v>82</v>
      </c>
      <c r="H62" s="25"/>
      <c r="I62" s="25" t="s">
        <v>8</v>
      </c>
      <c r="J62" s="25" t="s">
        <v>285</v>
      </c>
      <c r="K62" s="28"/>
      <c r="L62" s="28"/>
      <c r="M62" s="29"/>
      <c r="N62" s="30">
        <v>0</v>
      </c>
    </row>
    <row r="63" spans="1:14" ht="28" x14ac:dyDescent="0.2">
      <c r="A63" s="25">
        <v>59</v>
      </c>
      <c r="B63" s="33" t="s">
        <v>14</v>
      </c>
      <c r="C63" s="25" t="s">
        <v>265</v>
      </c>
      <c r="D63" s="27" t="s">
        <v>286</v>
      </c>
      <c r="E63" s="25" t="s">
        <v>287</v>
      </c>
      <c r="F63" s="25" t="s">
        <v>81</v>
      </c>
      <c r="G63" s="25" t="s">
        <v>82</v>
      </c>
      <c r="H63" s="25"/>
      <c r="I63" s="25" t="s">
        <v>8</v>
      </c>
      <c r="J63" s="25" t="s">
        <v>282</v>
      </c>
      <c r="K63" s="28"/>
      <c r="L63" s="28"/>
      <c r="M63" s="29"/>
      <c r="N63" s="30">
        <v>0</v>
      </c>
    </row>
    <row r="64" spans="1:14" x14ac:dyDescent="0.2">
      <c r="A64" s="25">
        <v>60</v>
      </c>
      <c r="B64" s="34" t="s">
        <v>15</v>
      </c>
      <c r="C64" s="25" t="s">
        <v>288</v>
      </c>
      <c r="D64" s="27" t="s">
        <v>289</v>
      </c>
      <c r="E64" s="25" t="s">
        <v>290</v>
      </c>
      <c r="F64" s="25" t="s">
        <v>291</v>
      </c>
      <c r="G64" s="25" t="s">
        <v>48</v>
      </c>
      <c r="H64" s="25" t="s">
        <v>292</v>
      </c>
      <c r="I64" s="25" t="s">
        <v>7</v>
      </c>
      <c r="J64" s="25" t="s">
        <v>293</v>
      </c>
      <c r="K64" s="28"/>
      <c r="L64" s="28"/>
      <c r="M64" s="29"/>
      <c r="N64" s="30">
        <v>0</v>
      </c>
    </row>
    <row r="65" spans="1:14" ht="28" x14ac:dyDescent="0.2">
      <c r="A65" s="25">
        <v>61</v>
      </c>
      <c r="B65" s="34" t="s">
        <v>15</v>
      </c>
      <c r="C65" s="25" t="s">
        <v>288</v>
      </c>
      <c r="D65" s="27" t="s">
        <v>294</v>
      </c>
      <c r="E65" s="25" t="s">
        <v>295</v>
      </c>
      <c r="F65" s="25" t="s">
        <v>279</v>
      </c>
      <c r="G65" s="25" t="s">
        <v>82</v>
      </c>
      <c r="H65" s="25"/>
      <c r="I65" s="25" t="s">
        <v>7</v>
      </c>
      <c r="J65" s="25" t="s">
        <v>296</v>
      </c>
      <c r="K65" s="28"/>
      <c r="L65" s="28"/>
      <c r="M65" s="29"/>
      <c r="N65" s="30">
        <v>0</v>
      </c>
    </row>
    <row r="66" spans="1:14" ht="28" x14ac:dyDescent="0.2">
      <c r="A66" s="25">
        <v>62</v>
      </c>
      <c r="B66" s="34" t="s">
        <v>15</v>
      </c>
      <c r="C66" s="25" t="s">
        <v>288</v>
      </c>
      <c r="D66" s="27" t="s">
        <v>297</v>
      </c>
      <c r="E66" s="25" t="s">
        <v>298</v>
      </c>
      <c r="F66" s="25" t="s">
        <v>299</v>
      </c>
      <c r="G66" s="25" t="s">
        <v>48</v>
      </c>
      <c r="H66" s="25" t="s">
        <v>300</v>
      </c>
      <c r="I66" s="25" t="s">
        <v>7</v>
      </c>
      <c r="J66" s="25" t="s">
        <v>301</v>
      </c>
      <c r="K66" s="28"/>
      <c r="L66" s="28"/>
      <c r="M66" s="29"/>
      <c r="N66" s="30">
        <v>0</v>
      </c>
    </row>
    <row r="67" spans="1:14" x14ac:dyDescent="0.2">
      <c r="A67" s="25">
        <v>63</v>
      </c>
      <c r="B67" s="34" t="s">
        <v>15</v>
      </c>
      <c r="C67" s="25" t="s">
        <v>288</v>
      </c>
      <c r="D67" s="27" t="s">
        <v>302</v>
      </c>
      <c r="E67" s="25" t="s">
        <v>303</v>
      </c>
      <c r="F67" s="25" t="s">
        <v>304</v>
      </c>
      <c r="G67" s="25" t="s">
        <v>99</v>
      </c>
      <c r="H67" s="25"/>
      <c r="I67" s="25" t="s">
        <v>9</v>
      </c>
      <c r="J67" s="25" t="s">
        <v>87</v>
      </c>
      <c r="K67" s="28"/>
      <c r="L67" s="28"/>
      <c r="M67" s="29"/>
      <c r="N67" s="30">
        <v>0</v>
      </c>
    </row>
    <row r="68" spans="1:14" x14ac:dyDescent="0.2">
      <c r="A68" s="25">
        <v>64</v>
      </c>
      <c r="B68" s="34" t="s">
        <v>15</v>
      </c>
      <c r="C68" s="25" t="s">
        <v>305</v>
      </c>
      <c r="D68" s="27" t="s">
        <v>306</v>
      </c>
      <c r="E68" s="25" t="s">
        <v>307</v>
      </c>
      <c r="F68" s="25" t="s">
        <v>308</v>
      </c>
      <c r="G68" s="25" t="s">
        <v>82</v>
      </c>
      <c r="H68" s="25"/>
      <c r="I68" s="25" t="s">
        <v>9</v>
      </c>
      <c r="J68" s="25" t="s">
        <v>305</v>
      </c>
      <c r="K68" s="28"/>
      <c r="L68" s="28"/>
      <c r="M68" s="29"/>
      <c r="N68" s="30">
        <v>0</v>
      </c>
    </row>
    <row r="69" spans="1:14" x14ac:dyDescent="0.2">
      <c r="A69" s="25">
        <v>65</v>
      </c>
      <c r="B69" s="34" t="s">
        <v>15</v>
      </c>
      <c r="C69" s="25" t="s">
        <v>305</v>
      </c>
      <c r="D69" s="27" t="s">
        <v>309</v>
      </c>
      <c r="E69" s="25" t="s">
        <v>310</v>
      </c>
      <c r="F69" s="25" t="s">
        <v>311</v>
      </c>
      <c r="G69" s="25" t="s">
        <v>82</v>
      </c>
      <c r="H69" s="25"/>
      <c r="I69" s="25" t="s">
        <v>9</v>
      </c>
      <c r="J69" s="25" t="s">
        <v>312</v>
      </c>
      <c r="K69" s="28"/>
      <c r="L69" s="28"/>
      <c r="M69" s="29"/>
      <c r="N69" s="30">
        <v>0</v>
      </c>
    </row>
    <row r="70" spans="1:14" x14ac:dyDescent="0.2">
      <c r="A70" s="25">
        <v>66</v>
      </c>
      <c r="B70" s="34" t="s">
        <v>15</v>
      </c>
      <c r="C70" s="25" t="s">
        <v>305</v>
      </c>
      <c r="D70" s="27" t="s">
        <v>313</v>
      </c>
      <c r="E70" s="25" t="s">
        <v>314</v>
      </c>
      <c r="F70" s="25" t="s">
        <v>315</v>
      </c>
      <c r="G70" s="25" t="s">
        <v>82</v>
      </c>
      <c r="H70" s="25"/>
      <c r="I70" s="25" t="s">
        <v>9</v>
      </c>
      <c r="J70" s="25" t="s">
        <v>312</v>
      </c>
      <c r="K70" s="28"/>
      <c r="L70" s="28"/>
      <c r="M70" s="29"/>
      <c r="N70" s="30">
        <v>0</v>
      </c>
    </row>
    <row r="71" spans="1:14" x14ac:dyDescent="0.2">
      <c r="A71" s="25">
        <v>67</v>
      </c>
      <c r="B71" s="34" t="s">
        <v>15</v>
      </c>
      <c r="C71" s="25" t="s">
        <v>305</v>
      </c>
      <c r="D71" s="27" t="s">
        <v>316</v>
      </c>
      <c r="E71" s="25" t="s">
        <v>317</v>
      </c>
      <c r="F71" s="25" t="s">
        <v>318</v>
      </c>
      <c r="G71" s="25" t="s">
        <v>82</v>
      </c>
      <c r="H71" s="25"/>
      <c r="I71" s="25" t="s">
        <v>9</v>
      </c>
      <c r="J71" s="25" t="s">
        <v>319</v>
      </c>
      <c r="K71" s="28"/>
      <c r="L71" s="28"/>
      <c r="M71" s="29"/>
      <c r="N71" s="30">
        <v>0</v>
      </c>
    </row>
    <row r="72" spans="1:14" ht="28" x14ac:dyDescent="0.2">
      <c r="A72" s="25">
        <v>68</v>
      </c>
      <c r="B72" s="34" t="s">
        <v>15</v>
      </c>
      <c r="C72" s="25" t="s">
        <v>320</v>
      </c>
      <c r="D72" s="27" t="s">
        <v>321</v>
      </c>
      <c r="E72" s="25" t="s">
        <v>322</v>
      </c>
      <c r="F72" s="25" t="s">
        <v>323</v>
      </c>
      <c r="G72" s="25" t="s">
        <v>82</v>
      </c>
      <c r="H72" s="25"/>
      <c r="I72" s="25" t="s">
        <v>9</v>
      </c>
      <c r="J72" s="25" t="s">
        <v>324</v>
      </c>
      <c r="K72" s="28"/>
      <c r="L72" s="28"/>
      <c r="M72" s="29"/>
      <c r="N72" s="30">
        <v>0</v>
      </c>
    </row>
    <row r="73" spans="1:14" x14ac:dyDescent="0.2">
      <c r="A73" s="25">
        <v>69</v>
      </c>
      <c r="B73" s="34" t="s">
        <v>15</v>
      </c>
      <c r="C73" s="25" t="s">
        <v>320</v>
      </c>
      <c r="D73" s="27" t="s">
        <v>325</v>
      </c>
      <c r="E73" s="25" t="s">
        <v>326</v>
      </c>
      <c r="F73" s="25" t="s">
        <v>327</v>
      </c>
      <c r="G73" s="25" t="s">
        <v>82</v>
      </c>
      <c r="H73" s="25"/>
      <c r="I73" s="25" t="s">
        <v>9</v>
      </c>
      <c r="J73" s="25" t="s">
        <v>324</v>
      </c>
      <c r="K73" s="28"/>
      <c r="L73" s="28"/>
      <c r="M73" s="29"/>
      <c r="N73" s="30">
        <v>0</v>
      </c>
    </row>
    <row r="74" spans="1:14" x14ac:dyDescent="0.2">
      <c r="A74" s="25">
        <v>70</v>
      </c>
      <c r="B74" s="34" t="s">
        <v>15</v>
      </c>
      <c r="C74" s="25" t="s">
        <v>320</v>
      </c>
      <c r="D74" s="27" t="s">
        <v>328</v>
      </c>
      <c r="E74" s="25" t="s">
        <v>329</v>
      </c>
      <c r="F74" s="25" t="s">
        <v>330</v>
      </c>
      <c r="G74" s="25" t="s">
        <v>82</v>
      </c>
      <c r="H74" s="25"/>
      <c r="I74" s="25" t="s">
        <v>9</v>
      </c>
      <c r="J74" s="25" t="s">
        <v>324</v>
      </c>
      <c r="K74" s="28"/>
      <c r="L74" s="28"/>
      <c r="M74" s="29"/>
      <c r="N74" s="30">
        <v>0</v>
      </c>
    </row>
    <row r="75" spans="1:14" x14ac:dyDescent="0.2">
      <c r="A75" s="25">
        <v>71</v>
      </c>
      <c r="B75" s="34" t="s">
        <v>15</v>
      </c>
      <c r="C75" s="25" t="s">
        <v>320</v>
      </c>
      <c r="D75" s="27" t="s">
        <v>331</v>
      </c>
      <c r="E75" s="25" t="s">
        <v>332</v>
      </c>
      <c r="F75" s="25" t="s">
        <v>333</v>
      </c>
      <c r="G75" s="25" t="s">
        <v>82</v>
      </c>
      <c r="H75" s="25"/>
      <c r="I75" s="25" t="s">
        <v>9</v>
      </c>
      <c r="J75" s="25" t="s">
        <v>324</v>
      </c>
      <c r="K75" s="28"/>
      <c r="L75" s="28"/>
      <c r="M75" s="29"/>
      <c r="N75" s="30">
        <v>0</v>
      </c>
    </row>
    <row r="76" spans="1:14" x14ac:dyDescent="0.2">
      <c r="A76" s="25">
        <v>72</v>
      </c>
      <c r="B76" s="34" t="s">
        <v>15</v>
      </c>
      <c r="C76" s="25" t="s">
        <v>334</v>
      </c>
      <c r="D76" s="27" t="s">
        <v>335</v>
      </c>
      <c r="E76" s="25" t="s">
        <v>336</v>
      </c>
      <c r="F76" s="25" t="s">
        <v>337</v>
      </c>
      <c r="G76" s="25" t="s">
        <v>59</v>
      </c>
      <c r="H76" s="25" t="s">
        <v>338</v>
      </c>
      <c r="I76" s="25" t="s">
        <v>7</v>
      </c>
      <c r="J76" s="25" t="s">
        <v>339</v>
      </c>
      <c r="K76" s="28"/>
      <c r="L76" s="28"/>
      <c r="M76" s="29"/>
      <c r="N76" s="30">
        <v>0</v>
      </c>
    </row>
    <row r="77" spans="1:14" x14ac:dyDescent="0.2">
      <c r="A77" s="25">
        <v>73</v>
      </c>
      <c r="B77" s="34" t="s">
        <v>15</v>
      </c>
      <c r="C77" s="25" t="s">
        <v>334</v>
      </c>
      <c r="D77" s="27" t="s">
        <v>340</v>
      </c>
      <c r="E77" s="25" t="s">
        <v>341</v>
      </c>
      <c r="F77" s="25" t="s">
        <v>342</v>
      </c>
      <c r="G77" s="25" t="s">
        <v>59</v>
      </c>
      <c r="H77" s="25" t="s">
        <v>343</v>
      </c>
      <c r="I77" s="25" t="s">
        <v>7</v>
      </c>
      <c r="J77" s="25" t="s">
        <v>339</v>
      </c>
      <c r="K77" s="28"/>
      <c r="L77" s="28"/>
      <c r="M77" s="29"/>
      <c r="N77" s="30">
        <v>0</v>
      </c>
    </row>
    <row r="78" spans="1:14" x14ac:dyDescent="0.2">
      <c r="A78" s="25">
        <v>74</v>
      </c>
      <c r="B78" s="34" t="s">
        <v>15</v>
      </c>
      <c r="C78" s="25" t="s">
        <v>334</v>
      </c>
      <c r="D78" s="27" t="s">
        <v>344</v>
      </c>
      <c r="E78" s="25" t="s">
        <v>345</v>
      </c>
      <c r="F78" s="25" t="s">
        <v>346</v>
      </c>
      <c r="G78" s="25" t="s">
        <v>59</v>
      </c>
      <c r="H78" s="25" t="s">
        <v>347</v>
      </c>
      <c r="I78" s="25" t="s">
        <v>7</v>
      </c>
      <c r="J78" s="25" t="s">
        <v>348</v>
      </c>
      <c r="K78" s="28"/>
      <c r="L78" s="28"/>
      <c r="M78" s="29"/>
      <c r="N78" s="30">
        <v>0</v>
      </c>
    </row>
    <row r="79" spans="1:14" ht="28" x14ac:dyDescent="0.2">
      <c r="A79" s="25">
        <v>75</v>
      </c>
      <c r="B79" s="35" t="s">
        <v>16</v>
      </c>
      <c r="C79" s="25" t="s">
        <v>349</v>
      </c>
      <c r="D79" s="27" t="s">
        <v>350</v>
      </c>
      <c r="E79" s="25" t="s">
        <v>351</v>
      </c>
      <c r="F79" s="25" t="s">
        <v>352</v>
      </c>
      <c r="G79" s="25" t="s">
        <v>99</v>
      </c>
      <c r="H79" s="25"/>
      <c r="I79" s="25" t="s">
        <v>7</v>
      </c>
      <c r="J79" s="25" t="s">
        <v>353</v>
      </c>
      <c r="K79" s="28"/>
      <c r="L79" s="28"/>
      <c r="M79" s="29"/>
      <c r="N79" s="30">
        <v>0</v>
      </c>
    </row>
    <row r="80" spans="1:14" ht="28" x14ac:dyDescent="0.2">
      <c r="A80" s="25">
        <v>76</v>
      </c>
      <c r="B80" s="35" t="s">
        <v>16</v>
      </c>
      <c r="C80" s="25" t="s">
        <v>349</v>
      </c>
      <c r="D80" s="27" t="s">
        <v>354</v>
      </c>
      <c r="E80" s="25" t="s">
        <v>355</v>
      </c>
      <c r="F80" s="25" t="s">
        <v>356</v>
      </c>
      <c r="G80" s="25" t="s">
        <v>99</v>
      </c>
      <c r="H80" s="25"/>
      <c r="I80" s="25" t="s">
        <v>7</v>
      </c>
      <c r="J80" s="25" t="s">
        <v>353</v>
      </c>
      <c r="K80" s="28"/>
      <c r="L80" s="28"/>
      <c r="M80" s="29"/>
      <c r="N80" s="30">
        <v>0</v>
      </c>
    </row>
    <row r="81" spans="1:14" ht="28" x14ac:dyDescent="0.2">
      <c r="A81" s="25">
        <v>77</v>
      </c>
      <c r="B81" s="35" t="s">
        <v>16</v>
      </c>
      <c r="C81" s="25" t="s">
        <v>349</v>
      </c>
      <c r="D81" s="27" t="s">
        <v>357</v>
      </c>
      <c r="E81" s="25" t="s">
        <v>358</v>
      </c>
      <c r="F81" s="25" t="s">
        <v>359</v>
      </c>
      <c r="G81" s="25" t="s">
        <v>99</v>
      </c>
      <c r="H81" s="25"/>
      <c r="I81" s="25" t="s">
        <v>7</v>
      </c>
      <c r="J81" s="25" t="s">
        <v>353</v>
      </c>
      <c r="K81" s="28"/>
      <c r="L81" s="28"/>
      <c r="M81" s="29"/>
      <c r="N81" s="30">
        <v>0</v>
      </c>
    </row>
    <row r="82" spans="1:14" ht="28" x14ac:dyDescent="0.2">
      <c r="A82" s="25">
        <v>78</v>
      </c>
      <c r="B82" s="35" t="s">
        <v>16</v>
      </c>
      <c r="C82" s="25" t="s">
        <v>349</v>
      </c>
      <c r="D82" s="27" t="s">
        <v>360</v>
      </c>
      <c r="E82" s="25" t="s">
        <v>361</v>
      </c>
      <c r="F82" s="25" t="s">
        <v>362</v>
      </c>
      <c r="G82" s="25" t="s">
        <v>59</v>
      </c>
      <c r="H82" s="25" t="s">
        <v>363</v>
      </c>
      <c r="I82" s="25" t="s">
        <v>8</v>
      </c>
      <c r="J82" s="25" t="s">
        <v>364</v>
      </c>
      <c r="K82" s="28"/>
      <c r="L82" s="28"/>
      <c r="M82" s="29"/>
      <c r="N82" s="30">
        <v>0</v>
      </c>
    </row>
    <row r="83" spans="1:14" ht="28" x14ac:dyDescent="0.2">
      <c r="A83" s="25">
        <v>79</v>
      </c>
      <c r="B83" s="35" t="s">
        <v>16</v>
      </c>
      <c r="C83" s="25" t="s">
        <v>365</v>
      </c>
      <c r="D83" s="27" t="s">
        <v>366</v>
      </c>
      <c r="E83" s="25" t="s">
        <v>367</v>
      </c>
      <c r="F83" s="25" t="s">
        <v>368</v>
      </c>
      <c r="G83" s="25" t="s">
        <v>99</v>
      </c>
      <c r="H83" s="25"/>
      <c r="I83" s="25" t="s">
        <v>7</v>
      </c>
      <c r="J83" s="25" t="s">
        <v>369</v>
      </c>
      <c r="K83" s="28"/>
      <c r="L83" s="28"/>
      <c r="M83" s="29"/>
      <c r="N83" s="30">
        <v>0</v>
      </c>
    </row>
    <row r="84" spans="1:14" ht="28" x14ac:dyDescent="0.2">
      <c r="A84" s="25">
        <v>80</v>
      </c>
      <c r="B84" s="35" t="s">
        <v>16</v>
      </c>
      <c r="C84" s="25" t="s">
        <v>365</v>
      </c>
      <c r="D84" s="27" t="s">
        <v>370</v>
      </c>
      <c r="E84" s="25" t="s">
        <v>371</v>
      </c>
      <c r="F84" s="25" t="s">
        <v>372</v>
      </c>
      <c r="G84" s="25" t="s">
        <v>99</v>
      </c>
      <c r="H84" s="25"/>
      <c r="I84" s="25" t="s">
        <v>7</v>
      </c>
      <c r="J84" s="25" t="s">
        <v>373</v>
      </c>
      <c r="K84" s="28"/>
      <c r="L84" s="28"/>
      <c r="M84" s="29"/>
      <c r="N84" s="30">
        <v>0</v>
      </c>
    </row>
    <row r="85" spans="1:14" ht="28" x14ac:dyDescent="0.2">
      <c r="A85" s="25">
        <v>81</v>
      </c>
      <c r="B85" s="35" t="s">
        <v>16</v>
      </c>
      <c r="C85" s="25" t="s">
        <v>365</v>
      </c>
      <c r="D85" s="27" t="s">
        <v>374</v>
      </c>
      <c r="E85" s="25" t="s">
        <v>375</v>
      </c>
      <c r="F85" s="25" t="s">
        <v>376</v>
      </c>
      <c r="G85" s="25" t="s">
        <v>99</v>
      </c>
      <c r="H85" s="25"/>
      <c r="I85" s="25" t="s">
        <v>7</v>
      </c>
      <c r="J85" s="25" t="s">
        <v>14</v>
      </c>
      <c r="K85" s="28"/>
      <c r="L85" s="28"/>
      <c r="M85" s="29"/>
      <c r="N85" s="30">
        <v>0</v>
      </c>
    </row>
    <row r="86" spans="1:14" ht="28" x14ac:dyDescent="0.2">
      <c r="A86" s="25">
        <v>82</v>
      </c>
      <c r="B86" s="35" t="s">
        <v>16</v>
      </c>
      <c r="C86" s="25" t="s">
        <v>365</v>
      </c>
      <c r="D86" s="27" t="s">
        <v>377</v>
      </c>
      <c r="E86" s="25" t="s">
        <v>378</v>
      </c>
      <c r="F86" s="25" t="s">
        <v>379</v>
      </c>
      <c r="G86" s="25" t="s">
        <v>99</v>
      </c>
      <c r="H86" s="25"/>
      <c r="I86" s="25" t="s">
        <v>7</v>
      </c>
      <c r="J86" s="25" t="s">
        <v>369</v>
      </c>
      <c r="K86" s="28"/>
      <c r="L86" s="28"/>
      <c r="M86" s="29"/>
      <c r="N86" s="30">
        <v>0</v>
      </c>
    </row>
    <row r="87" spans="1:14" ht="28" x14ac:dyDescent="0.2">
      <c r="A87" s="25">
        <v>83</v>
      </c>
      <c r="B87" s="36" t="s">
        <v>17</v>
      </c>
      <c r="C87" s="25" t="s">
        <v>380</v>
      </c>
      <c r="D87" s="27" t="s">
        <v>381</v>
      </c>
      <c r="E87" s="25" t="s">
        <v>382</v>
      </c>
      <c r="F87" s="25" t="s">
        <v>383</v>
      </c>
      <c r="G87" s="25" t="s">
        <v>99</v>
      </c>
      <c r="H87" s="25"/>
      <c r="I87" s="25" t="s">
        <v>7</v>
      </c>
      <c r="J87" s="25" t="s">
        <v>384</v>
      </c>
      <c r="K87" s="28"/>
      <c r="L87" s="28"/>
      <c r="M87" s="29"/>
      <c r="N87" s="30">
        <v>0</v>
      </c>
    </row>
    <row r="88" spans="1:14" ht="28" x14ac:dyDescent="0.2">
      <c r="A88" s="25">
        <v>84</v>
      </c>
      <c r="B88" s="36" t="s">
        <v>17</v>
      </c>
      <c r="C88" s="25" t="s">
        <v>380</v>
      </c>
      <c r="D88" s="27" t="s">
        <v>385</v>
      </c>
      <c r="E88" s="25" t="s">
        <v>386</v>
      </c>
      <c r="F88" s="25" t="s">
        <v>387</v>
      </c>
      <c r="G88" s="25" t="s">
        <v>82</v>
      </c>
      <c r="H88" s="25"/>
      <c r="I88" s="25" t="s">
        <v>7</v>
      </c>
      <c r="J88" s="25" t="s">
        <v>388</v>
      </c>
      <c r="K88" s="28"/>
      <c r="L88" s="28"/>
      <c r="M88" s="29"/>
      <c r="N88" s="30">
        <v>0</v>
      </c>
    </row>
    <row r="89" spans="1:14" ht="28" x14ac:dyDescent="0.2">
      <c r="A89" s="25">
        <v>85</v>
      </c>
      <c r="B89" s="36" t="s">
        <v>17</v>
      </c>
      <c r="C89" s="25" t="s">
        <v>380</v>
      </c>
      <c r="D89" s="27" t="s">
        <v>389</v>
      </c>
      <c r="E89" s="25" t="s">
        <v>390</v>
      </c>
      <c r="F89" s="25" t="s">
        <v>387</v>
      </c>
      <c r="G89" s="25" t="s">
        <v>82</v>
      </c>
      <c r="H89" s="25"/>
      <c r="I89" s="25" t="s">
        <v>7</v>
      </c>
      <c r="J89" s="25" t="s">
        <v>391</v>
      </c>
      <c r="K89" s="28"/>
      <c r="L89" s="28"/>
      <c r="M89" s="29"/>
      <c r="N89" s="30">
        <v>0</v>
      </c>
    </row>
    <row r="90" spans="1:14" ht="28" x14ac:dyDescent="0.2">
      <c r="A90" s="25">
        <v>86</v>
      </c>
      <c r="B90" s="36" t="s">
        <v>17</v>
      </c>
      <c r="C90" s="25" t="s">
        <v>380</v>
      </c>
      <c r="D90" s="27" t="s">
        <v>392</v>
      </c>
      <c r="E90" s="25" t="s">
        <v>393</v>
      </c>
      <c r="F90" s="25" t="s">
        <v>387</v>
      </c>
      <c r="G90" s="25" t="s">
        <v>82</v>
      </c>
      <c r="H90" s="25"/>
      <c r="I90" s="25" t="s">
        <v>7</v>
      </c>
      <c r="J90" s="25" t="s">
        <v>394</v>
      </c>
      <c r="K90" s="28"/>
      <c r="L90" s="28"/>
      <c r="M90" s="29"/>
      <c r="N90" s="30">
        <v>0</v>
      </c>
    </row>
    <row r="91" spans="1:14" ht="28" x14ac:dyDescent="0.2">
      <c r="A91" s="25">
        <v>87</v>
      </c>
      <c r="B91" s="36" t="s">
        <v>17</v>
      </c>
      <c r="C91" s="25" t="s">
        <v>380</v>
      </c>
      <c r="D91" s="27" t="s">
        <v>395</v>
      </c>
      <c r="E91" s="25" t="s">
        <v>396</v>
      </c>
      <c r="F91" s="25" t="s">
        <v>397</v>
      </c>
      <c r="G91" s="25" t="s">
        <v>48</v>
      </c>
      <c r="H91" s="25" t="s">
        <v>60</v>
      </c>
      <c r="I91" s="25" t="s">
        <v>7</v>
      </c>
      <c r="J91" s="25" t="s">
        <v>364</v>
      </c>
      <c r="K91" s="28"/>
      <c r="L91" s="28"/>
      <c r="M91" s="29"/>
      <c r="N91" s="30">
        <v>0</v>
      </c>
    </row>
    <row r="92" spans="1:14" x14ac:dyDescent="0.2">
      <c r="A92" s="25">
        <v>88</v>
      </c>
      <c r="B92" s="36" t="s">
        <v>17</v>
      </c>
      <c r="C92" s="25" t="s">
        <v>398</v>
      </c>
      <c r="D92" s="27" t="s">
        <v>399</v>
      </c>
      <c r="E92" s="25" t="s">
        <v>400</v>
      </c>
      <c r="F92" s="25" t="s">
        <v>401</v>
      </c>
      <c r="G92" s="25" t="s">
        <v>59</v>
      </c>
      <c r="H92" s="25" t="s">
        <v>402</v>
      </c>
      <c r="I92" s="25" t="s">
        <v>8</v>
      </c>
      <c r="J92" s="25" t="s">
        <v>403</v>
      </c>
      <c r="K92" s="28"/>
      <c r="L92" s="28"/>
      <c r="M92" s="29"/>
      <c r="N92" s="30">
        <v>0</v>
      </c>
    </row>
    <row r="93" spans="1:14" x14ac:dyDescent="0.2">
      <c r="A93" s="25">
        <v>89</v>
      </c>
      <c r="B93" s="36" t="s">
        <v>17</v>
      </c>
      <c r="C93" s="25" t="s">
        <v>398</v>
      </c>
      <c r="D93" s="27" t="s">
        <v>404</v>
      </c>
      <c r="E93" s="25" t="s">
        <v>405</v>
      </c>
      <c r="F93" s="25" t="s">
        <v>406</v>
      </c>
      <c r="G93" s="25" t="s">
        <v>59</v>
      </c>
      <c r="H93" s="25" t="s">
        <v>407</v>
      </c>
      <c r="I93" s="25" t="s">
        <v>8</v>
      </c>
      <c r="J93" s="25" t="s">
        <v>408</v>
      </c>
      <c r="K93" s="28"/>
      <c r="L93" s="28"/>
      <c r="M93" s="29"/>
      <c r="N93" s="30">
        <v>0</v>
      </c>
    </row>
    <row r="94" spans="1:14" ht="28" x14ac:dyDescent="0.2">
      <c r="A94" s="25">
        <v>90</v>
      </c>
      <c r="B94" s="36" t="s">
        <v>17</v>
      </c>
      <c r="C94" s="25" t="s">
        <v>398</v>
      </c>
      <c r="D94" s="27" t="s">
        <v>409</v>
      </c>
      <c r="E94" s="25" t="s">
        <v>410</v>
      </c>
      <c r="F94" s="25" t="s">
        <v>279</v>
      </c>
      <c r="G94" s="25" t="s">
        <v>82</v>
      </c>
      <c r="H94" s="25"/>
      <c r="I94" s="25" t="s">
        <v>8</v>
      </c>
      <c r="J94" s="25" t="s">
        <v>411</v>
      </c>
      <c r="K94" s="28"/>
      <c r="L94" s="28"/>
      <c r="M94" s="29"/>
      <c r="N94" s="30">
        <v>0</v>
      </c>
    </row>
    <row r="95" spans="1:14" x14ac:dyDescent="0.2">
      <c r="A95" s="25">
        <v>91</v>
      </c>
      <c r="B95" s="36" t="s">
        <v>17</v>
      </c>
      <c r="C95" s="25" t="s">
        <v>412</v>
      </c>
      <c r="D95" s="27" t="s">
        <v>413</v>
      </c>
      <c r="E95" s="25" t="s">
        <v>414</v>
      </c>
      <c r="F95" s="25" t="s">
        <v>415</v>
      </c>
      <c r="G95" s="25" t="s">
        <v>59</v>
      </c>
      <c r="H95" s="25" t="s">
        <v>416</v>
      </c>
      <c r="I95" s="25" t="s">
        <v>7</v>
      </c>
      <c r="J95" s="25" t="s">
        <v>417</v>
      </c>
      <c r="K95" s="28"/>
      <c r="L95" s="28"/>
      <c r="M95" s="29"/>
      <c r="N95" s="30">
        <v>0</v>
      </c>
    </row>
    <row r="96" spans="1:14" x14ac:dyDescent="0.2">
      <c r="A96" s="25">
        <v>92</v>
      </c>
      <c r="B96" s="36" t="s">
        <v>17</v>
      </c>
      <c r="C96" s="25" t="s">
        <v>412</v>
      </c>
      <c r="D96" s="27" t="s">
        <v>418</v>
      </c>
      <c r="E96" s="25" t="s">
        <v>419</v>
      </c>
      <c r="F96" s="25" t="s">
        <v>420</v>
      </c>
      <c r="G96" s="25" t="s">
        <v>158</v>
      </c>
      <c r="H96" s="25" t="s">
        <v>421</v>
      </c>
      <c r="I96" s="25" t="s">
        <v>7</v>
      </c>
      <c r="J96" s="25" t="s">
        <v>422</v>
      </c>
      <c r="K96" s="28"/>
      <c r="L96" s="28"/>
      <c r="M96" s="29"/>
      <c r="N96" s="30">
        <v>0</v>
      </c>
    </row>
    <row r="97" spans="1:14" x14ac:dyDescent="0.2">
      <c r="A97" s="25">
        <v>93</v>
      </c>
      <c r="B97" s="36" t="s">
        <v>17</v>
      </c>
      <c r="C97" s="25" t="s">
        <v>412</v>
      </c>
      <c r="D97" s="27" t="s">
        <v>423</v>
      </c>
      <c r="E97" s="25" t="s">
        <v>424</v>
      </c>
      <c r="F97" s="25" t="s">
        <v>425</v>
      </c>
      <c r="G97" s="25" t="s">
        <v>59</v>
      </c>
      <c r="H97" s="25" t="s">
        <v>426</v>
      </c>
      <c r="I97" s="25" t="s">
        <v>7</v>
      </c>
      <c r="J97" s="25" t="s">
        <v>149</v>
      </c>
      <c r="K97" s="28"/>
      <c r="L97" s="28"/>
      <c r="M97" s="29"/>
      <c r="N97" s="30">
        <v>0</v>
      </c>
    </row>
    <row r="98" spans="1:14" ht="28" x14ac:dyDescent="0.2">
      <c r="A98" s="25">
        <v>94</v>
      </c>
      <c r="B98" s="36" t="s">
        <v>17</v>
      </c>
      <c r="C98" s="25" t="s">
        <v>412</v>
      </c>
      <c r="D98" s="27" t="s">
        <v>427</v>
      </c>
      <c r="E98" s="25" t="s">
        <v>428</v>
      </c>
      <c r="F98" s="25" t="s">
        <v>429</v>
      </c>
      <c r="G98" s="25" t="s">
        <v>54</v>
      </c>
      <c r="H98" s="25" t="s">
        <v>430</v>
      </c>
      <c r="I98" s="25" t="s">
        <v>7</v>
      </c>
      <c r="J98" s="25" t="s">
        <v>431</v>
      </c>
      <c r="K98" s="28"/>
      <c r="L98" s="28"/>
      <c r="M98" s="29"/>
      <c r="N98" s="30">
        <v>0</v>
      </c>
    </row>
    <row r="99" spans="1:14" x14ac:dyDescent="0.2">
      <c r="A99" s="25">
        <v>95</v>
      </c>
      <c r="B99" s="36" t="s">
        <v>17</v>
      </c>
      <c r="C99" s="25" t="s">
        <v>412</v>
      </c>
      <c r="D99" s="27" t="s">
        <v>432</v>
      </c>
      <c r="E99" s="25" t="s">
        <v>433</v>
      </c>
      <c r="F99" s="25" t="s">
        <v>434</v>
      </c>
      <c r="G99" s="25" t="s">
        <v>99</v>
      </c>
      <c r="H99" s="25"/>
      <c r="I99" s="25" t="s">
        <v>7</v>
      </c>
      <c r="J99" s="25" t="s">
        <v>435</v>
      </c>
      <c r="K99" s="28"/>
      <c r="L99" s="28"/>
      <c r="M99" s="29"/>
      <c r="N99" s="30">
        <v>0</v>
      </c>
    </row>
    <row r="100" spans="1:14" ht="28" x14ac:dyDescent="0.2">
      <c r="A100" s="25">
        <v>96</v>
      </c>
      <c r="B100" s="36" t="s">
        <v>17</v>
      </c>
      <c r="C100" s="25" t="s">
        <v>412</v>
      </c>
      <c r="D100" s="27" t="s">
        <v>436</v>
      </c>
      <c r="E100" s="25" t="s">
        <v>437</v>
      </c>
      <c r="F100" s="25" t="s">
        <v>81</v>
      </c>
      <c r="G100" s="25" t="s">
        <v>82</v>
      </c>
      <c r="H100" s="25"/>
      <c r="I100" s="25" t="s">
        <v>7</v>
      </c>
      <c r="J100" s="25" t="s">
        <v>438</v>
      </c>
      <c r="K100" s="28"/>
      <c r="L100" s="28"/>
      <c r="M100" s="29"/>
      <c r="N100" s="30">
        <v>0</v>
      </c>
    </row>
    <row r="101" spans="1:14" x14ac:dyDescent="0.2">
      <c r="A101" s="25">
        <v>97</v>
      </c>
      <c r="B101" s="36" t="s">
        <v>17</v>
      </c>
      <c r="C101" s="25" t="s">
        <v>439</v>
      </c>
      <c r="D101" s="27" t="s">
        <v>440</v>
      </c>
      <c r="E101" s="25" t="s">
        <v>441</v>
      </c>
      <c r="F101" s="25" t="s">
        <v>442</v>
      </c>
      <c r="G101" s="25" t="s">
        <v>158</v>
      </c>
      <c r="H101" s="25"/>
      <c r="I101" s="25" t="s">
        <v>7</v>
      </c>
      <c r="J101" s="25" t="s">
        <v>443</v>
      </c>
      <c r="K101" s="28"/>
      <c r="L101" s="28"/>
      <c r="M101" s="29"/>
      <c r="N101" s="30">
        <v>0</v>
      </c>
    </row>
    <row r="102" spans="1:14" ht="28" x14ac:dyDescent="0.2">
      <c r="A102" s="25">
        <v>98</v>
      </c>
      <c r="B102" s="36" t="s">
        <v>17</v>
      </c>
      <c r="C102" s="25" t="s">
        <v>439</v>
      </c>
      <c r="D102" s="27" t="s">
        <v>444</v>
      </c>
      <c r="E102" s="25" t="s">
        <v>445</v>
      </c>
      <c r="F102" s="25" t="s">
        <v>279</v>
      </c>
      <c r="G102" s="25" t="s">
        <v>82</v>
      </c>
      <c r="H102" s="25"/>
      <c r="I102" s="25" t="s">
        <v>7</v>
      </c>
      <c r="J102" s="25" t="s">
        <v>446</v>
      </c>
      <c r="K102" s="28"/>
      <c r="L102" s="28"/>
      <c r="M102" s="29"/>
      <c r="N102" s="30">
        <v>0</v>
      </c>
    </row>
    <row r="103" spans="1:14" x14ac:dyDescent="0.2">
      <c r="A103" s="25">
        <v>99</v>
      </c>
      <c r="B103" s="36" t="s">
        <v>17</v>
      </c>
      <c r="C103" s="25" t="s">
        <v>439</v>
      </c>
      <c r="D103" s="27" t="s">
        <v>447</v>
      </c>
      <c r="E103" s="25" t="s">
        <v>448</v>
      </c>
      <c r="F103" s="25" t="s">
        <v>449</v>
      </c>
      <c r="G103" s="25" t="s">
        <v>82</v>
      </c>
      <c r="H103" s="25"/>
      <c r="I103" s="25" t="s">
        <v>8</v>
      </c>
      <c r="J103" s="25" t="s">
        <v>446</v>
      </c>
      <c r="K103" s="28"/>
      <c r="L103" s="28"/>
      <c r="M103" s="29"/>
      <c r="N103" s="30">
        <v>0</v>
      </c>
    </row>
    <row r="104" spans="1:14" x14ac:dyDescent="0.2">
      <c r="A104" s="25">
        <v>100</v>
      </c>
      <c r="B104" s="36" t="s">
        <v>17</v>
      </c>
      <c r="C104" s="25" t="s">
        <v>439</v>
      </c>
      <c r="D104" s="27" t="s">
        <v>450</v>
      </c>
      <c r="E104" s="25" t="s">
        <v>451</v>
      </c>
      <c r="F104" s="25" t="s">
        <v>452</v>
      </c>
      <c r="G104" s="25" t="s">
        <v>59</v>
      </c>
      <c r="H104" s="25" t="s">
        <v>453</v>
      </c>
      <c r="I104" s="25" t="s">
        <v>7</v>
      </c>
      <c r="J104" s="25" t="s">
        <v>50</v>
      </c>
      <c r="K104" s="28"/>
      <c r="L104" s="28"/>
      <c r="M104" s="29"/>
      <c r="N104" s="30">
        <v>0</v>
      </c>
    </row>
  </sheetData>
  <autoFilter ref="A4:N104" xr:uid="{00000000-0009-0000-0000-000001000000}"/>
  <conditionalFormatting sqref="G5:G104">
    <cfRule type="cellIs" dxfId="14" priority="2" operator="equal">
      <formula>"Existe"</formula>
    </cfRule>
    <cfRule type="cellIs" dxfId="13" priority="3" operator="equal">
      <formula>"Unir"</formula>
    </cfRule>
    <cfRule type="cellIs" dxfId="12" priority="4" operator="equal">
      <formula>"Ajustar"</formula>
    </cfRule>
    <cfRule type="cellIs" dxfId="11" priority="5" operator="equal">
      <formula>"Validar"</formula>
    </cfRule>
    <cfRule type="cellIs" dxfId="10" priority="6" operator="equal">
      <formula>"Migrar del backoffice"</formula>
    </cfRule>
    <cfRule type="cellIs" dxfId="9" priority="7" operator="equal">
      <formula>"Crear"</formula>
    </cfRule>
    <cfRule type="cellIs" dxfId="8" priority="8" operator="equal">
      <formula>"Por definir"</formula>
    </cfRule>
  </conditionalFormatting>
  <dataValidations count="4">
    <dataValidation type="list" allowBlank="1" sqref="G5:G104" xr:uid="{00000000-0002-0000-0100-000000000000}">
      <formula1>"Existe,Unir,Ajustar,Validar,Migrar del backoffice,Crear,Por definir"</formula1>
      <formula2>0</formula2>
    </dataValidation>
    <dataValidation type="list" allowBlank="1" sqref="I5:I104" xr:uid="{00000000-0002-0000-0100-000001000000}">
      <formula1>"Fase 1,Fase 2,Fase 3"</formula1>
      <formula2>0</formula2>
    </dataValidation>
    <dataValidation type="list" allowBlank="1" sqref="K5:K104" xr:uid="{00000000-0002-0000-0100-000002000000}">
      <formula1>"Alta,Media,Baja"</formula1>
      <formula2>0</formula2>
    </dataValidation>
    <dataValidation type="decimal" allowBlank="1" sqref="N5:N104" xr:uid="{00000000-0002-0000-0100-000003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zoomScale="125" zoomScaleNormal="100" workbookViewId="0"/>
  </sheetViews>
  <sheetFormatPr baseColWidth="10" defaultColWidth="8.6640625" defaultRowHeight="15" x14ac:dyDescent="0.2"/>
  <cols>
    <col min="1" max="1" width="14" customWidth="1"/>
    <col min="2" max="2" width="70" customWidth="1"/>
    <col min="3" max="3" width="52" customWidth="1"/>
  </cols>
  <sheetData>
    <row r="1" spans="1:3" ht="18" x14ac:dyDescent="0.2">
      <c r="A1" s="2" t="s">
        <v>454</v>
      </c>
    </row>
    <row r="3" spans="1:3" x14ac:dyDescent="0.2">
      <c r="A3" s="37" t="s">
        <v>455</v>
      </c>
      <c r="B3" s="37" t="s">
        <v>456</v>
      </c>
      <c r="C3" s="37" t="s">
        <v>457</v>
      </c>
    </row>
    <row r="4" spans="1:3" x14ac:dyDescent="0.2">
      <c r="A4" s="27" t="s">
        <v>33</v>
      </c>
      <c r="B4" s="25" t="s">
        <v>458</v>
      </c>
      <c r="C4" s="25" t="s">
        <v>459</v>
      </c>
    </row>
    <row r="5" spans="1:3" x14ac:dyDescent="0.2">
      <c r="A5" s="27" t="s">
        <v>33</v>
      </c>
      <c r="B5" s="25" t="s">
        <v>460</v>
      </c>
      <c r="C5" s="25" t="s">
        <v>461</v>
      </c>
    </row>
    <row r="6" spans="1:3" x14ac:dyDescent="0.2">
      <c r="A6" s="27" t="s">
        <v>33</v>
      </c>
      <c r="B6" s="25" t="s">
        <v>462</v>
      </c>
      <c r="C6" s="25" t="s">
        <v>463</v>
      </c>
    </row>
    <row r="7" spans="1:3" x14ac:dyDescent="0.2">
      <c r="A7" s="27" t="s">
        <v>33</v>
      </c>
      <c r="B7" s="25" t="s">
        <v>464</v>
      </c>
      <c r="C7" s="25" t="s">
        <v>465</v>
      </c>
    </row>
    <row r="8" spans="1:3" x14ac:dyDescent="0.2">
      <c r="A8" s="27" t="s">
        <v>413</v>
      </c>
      <c r="B8" s="25" t="s">
        <v>466</v>
      </c>
      <c r="C8" s="25" t="s">
        <v>467</v>
      </c>
    </row>
    <row r="9" spans="1:3" x14ac:dyDescent="0.2">
      <c r="A9" s="27" t="s">
        <v>413</v>
      </c>
      <c r="B9" s="25" t="s">
        <v>468</v>
      </c>
      <c r="C9" s="25" t="s">
        <v>469</v>
      </c>
    </row>
    <row r="10" spans="1:3" x14ac:dyDescent="0.2">
      <c r="A10" s="27" t="s">
        <v>470</v>
      </c>
      <c r="B10" s="25" t="s">
        <v>471</v>
      </c>
      <c r="C10" s="25" t="s">
        <v>472</v>
      </c>
    </row>
    <row r="11" spans="1:3" x14ac:dyDescent="0.2">
      <c r="A11" s="27" t="s">
        <v>470</v>
      </c>
      <c r="B11" s="25" t="s">
        <v>473</v>
      </c>
      <c r="C11" s="25" t="s">
        <v>474</v>
      </c>
    </row>
    <row r="12" spans="1:3" ht="28" x14ac:dyDescent="0.2">
      <c r="A12" s="27" t="s">
        <v>470</v>
      </c>
      <c r="B12" s="25" t="s">
        <v>475</v>
      </c>
      <c r="C12" s="25" t="s">
        <v>476</v>
      </c>
    </row>
    <row r="13" spans="1:3" x14ac:dyDescent="0.2">
      <c r="A13" s="27" t="s">
        <v>470</v>
      </c>
      <c r="B13" s="25" t="s">
        <v>477</v>
      </c>
      <c r="C13" s="25" t="s">
        <v>478</v>
      </c>
    </row>
    <row r="14" spans="1:3" x14ac:dyDescent="0.2">
      <c r="A14" s="27" t="s">
        <v>470</v>
      </c>
      <c r="B14" s="25" t="s">
        <v>479</v>
      </c>
      <c r="C14" s="25" t="s">
        <v>480</v>
      </c>
    </row>
    <row r="15" spans="1:3" ht="28" x14ac:dyDescent="0.2">
      <c r="A15" s="27" t="s">
        <v>481</v>
      </c>
      <c r="B15" s="25" t="s">
        <v>482</v>
      </c>
      <c r="C15" s="25" t="s">
        <v>483</v>
      </c>
    </row>
    <row r="16" spans="1:3" x14ac:dyDescent="0.2">
      <c r="A16" s="27" t="s">
        <v>481</v>
      </c>
      <c r="B16" s="25" t="s">
        <v>484</v>
      </c>
      <c r="C16" s="25" t="s">
        <v>485</v>
      </c>
    </row>
    <row r="17" spans="1:3" ht="28" x14ac:dyDescent="0.2">
      <c r="A17" s="27" t="s">
        <v>486</v>
      </c>
      <c r="B17" s="25" t="s">
        <v>487</v>
      </c>
      <c r="C17" s="25" t="s">
        <v>488</v>
      </c>
    </row>
    <row r="18" spans="1:3" x14ac:dyDescent="0.2">
      <c r="A18" s="27" t="s">
        <v>489</v>
      </c>
      <c r="B18" s="25" t="s">
        <v>490</v>
      </c>
      <c r="C18" s="25" t="s">
        <v>491</v>
      </c>
    </row>
    <row r="19" spans="1:3" x14ac:dyDescent="0.2">
      <c r="A19" s="27" t="s">
        <v>489</v>
      </c>
      <c r="B19" s="25" t="s">
        <v>492</v>
      </c>
      <c r="C19" s="25" t="s">
        <v>493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topLeftCell="A12" zoomScale="207" zoomScaleNormal="100" workbookViewId="0"/>
  </sheetViews>
  <sheetFormatPr baseColWidth="10" defaultColWidth="8.6640625" defaultRowHeight="15" x14ac:dyDescent="0.2"/>
  <cols>
    <col min="1" max="1" width="30" customWidth="1"/>
    <col min="2" max="2" width="56" customWidth="1"/>
    <col min="3" max="3" width="60" customWidth="1"/>
  </cols>
  <sheetData>
    <row r="1" spans="1:3" ht="18" x14ac:dyDescent="0.2">
      <c r="A1" s="2" t="s">
        <v>494</v>
      </c>
    </row>
    <row r="2" spans="1:3" x14ac:dyDescent="0.2">
      <c r="A2" s="3" t="s">
        <v>495</v>
      </c>
    </row>
    <row r="4" spans="1:3" x14ac:dyDescent="0.2">
      <c r="A4" s="37" t="s">
        <v>496</v>
      </c>
      <c r="B4" s="37" t="s">
        <v>497</v>
      </c>
      <c r="C4" s="37" t="s">
        <v>498</v>
      </c>
    </row>
    <row r="5" spans="1:3" ht="28" x14ac:dyDescent="0.2">
      <c r="A5" s="27" t="s">
        <v>499</v>
      </c>
      <c r="B5" s="25" t="s">
        <v>500</v>
      </c>
      <c r="C5" s="25" t="s">
        <v>501</v>
      </c>
    </row>
    <row r="6" spans="1:3" ht="28" x14ac:dyDescent="0.2">
      <c r="A6" s="27" t="s">
        <v>436</v>
      </c>
      <c r="B6" s="25" t="s">
        <v>502</v>
      </c>
      <c r="C6" s="25" t="s">
        <v>503</v>
      </c>
    </row>
    <row r="7" spans="1:3" ht="28" x14ac:dyDescent="0.2">
      <c r="A7" s="27" t="s">
        <v>504</v>
      </c>
      <c r="B7" s="25" t="s">
        <v>505</v>
      </c>
      <c r="C7" s="25" t="s">
        <v>506</v>
      </c>
    </row>
    <row r="8" spans="1:3" x14ac:dyDescent="0.2">
      <c r="A8" s="27" t="s">
        <v>507</v>
      </c>
      <c r="B8" s="25" t="s">
        <v>508</v>
      </c>
      <c r="C8" s="25" t="s">
        <v>509</v>
      </c>
    </row>
    <row r="9" spans="1:3" x14ac:dyDescent="0.2">
      <c r="A9" s="27" t="s">
        <v>510</v>
      </c>
      <c r="B9" s="25" t="s">
        <v>511</v>
      </c>
      <c r="C9" s="25" t="s">
        <v>512</v>
      </c>
    </row>
    <row r="10" spans="1:3" x14ac:dyDescent="0.2">
      <c r="A10" s="27" t="s">
        <v>513</v>
      </c>
      <c r="B10" s="25" t="s">
        <v>514</v>
      </c>
      <c r="C10" s="25" t="s">
        <v>515</v>
      </c>
    </row>
    <row r="11" spans="1:3" x14ac:dyDescent="0.2">
      <c r="A11" s="27" t="s">
        <v>516</v>
      </c>
      <c r="B11" s="25" t="s">
        <v>517</v>
      </c>
      <c r="C11" s="25" t="s">
        <v>518</v>
      </c>
    </row>
    <row r="12" spans="1:3" x14ac:dyDescent="0.2">
      <c r="A12" s="27" t="s">
        <v>519</v>
      </c>
      <c r="B12" s="25" t="s">
        <v>520</v>
      </c>
      <c r="C12" s="25" t="s">
        <v>521</v>
      </c>
    </row>
    <row r="13" spans="1:3" x14ac:dyDescent="0.2">
      <c r="A13" s="27" t="s">
        <v>522</v>
      </c>
      <c r="B13" s="25" t="s">
        <v>523</v>
      </c>
      <c r="C13" s="25" t="s">
        <v>524</v>
      </c>
    </row>
    <row r="15" spans="1:3" x14ac:dyDescent="0.2">
      <c r="A15" s="14" t="s">
        <v>525</v>
      </c>
    </row>
    <row r="16" spans="1:3" x14ac:dyDescent="0.2">
      <c r="A16" s="37" t="s">
        <v>526</v>
      </c>
      <c r="B16" s="37" t="s">
        <v>527</v>
      </c>
    </row>
    <row r="17" spans="1:2" x14ac:dyDescent="0.2">
      <c r="A17" s="14" t="s">
        <v>528</v>
      </c>
      <c r="B17" s="16" t="s">
        <v>529</v>
      </c>
    </row>
    <row r="18" spans="1:2" x14ac:dyDescent="0.2">
      <c r="A18" s="14" t="s">
        <v>530</v>
      </c>
      <c r="B18" s="16" t="s">
        <v>531</v>
      </c>
    </row>
    <row r="19" spans="1:2" x14ac:dyDescent="0.2">
      <c r="A19" s="14" t="s">
        <v>532</v>
      </c>
      <c r="B19" s="16" t="s">
        <v>533</v>
      </c>
    </row>
    <row r="20" spans="1:2" x14ac:dyDescent="0.2">
      <c r="A20" s="14" t="s">
        <v>534</v>
      </c>
      <c r="B20" s="16" t="s">
        <v>431</v>
      </c>
    </row>
    <row r="21" spans="1:2" x14ac:dyDescent="0.2">
      <c r="A21" s="14" t="s">
        <v>535</v>
      </c>
      <c r="B21" s="16" t="s">
        <v>305</v>
      </c>
    </row>
    <row r="22" spans="1:2" x14ac:dyDescent="0.2">
      <c r="A22" s="14" t="s">
        <v>536</v>
      </c>
      <c r="B22" s="16" t="s">
        <v>537</v>
      </c>
    </row>
    <row r="23" spans="1:2" x14ac:dyDescent="0.2">
      <c r="A23" s="14" t="s">
        <v>538</v>
      </c>
      <c r="B23" s="16" t="s">
        <v>539</v>
      </c>
    </row>
    <row r="24" spans="1:2" x14ac:dyDescent="0.2">
      <c r="A24" s="14" t="s">
        <v>540</v>
      </c>
      <c r="B24" s="16" t="s">
        <v>541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zoomScaleNormal="100" workbookViewId="0">
      <pane xSplit="1" ySplit="4" topLeftCell="B18" activePane="bottomRight" state="frozen"/>
      <selection pane="topRight" activeCell="B1" sqref="B1"/>
      <selection pane="bottomLeft" activeCell="A5" sqref="A5"/>
      <selection pane="bottomRight" activeCell="F13" sqref="F13"/>
    </sheetView>
  </sheetViews>
  <sheetFormatPr baseColWidth="10" defaultColWidth="8.6640625" defaultRowHeight="15" x14ac:dyDescent="0.2"/>
  <cols>
    <col min="1" max="1" width="22" customWidth="1"/>
    <col min="2" max="2" width="24" customWidth="1"/>
    <col min="3" max="3" width="9" customWidth="1"/>
    <col min="4" max="4" width="24" customWidth="1"/>
    <col min="5" max="5" width="36" customWidth="1"/>
    <col min="6" max="6" width="28" customWidth="1"/>
    <col min="7" max="7" width="52" customWidth="1"/>
    <col min="8" max="8" width="46" customWidth="1"/>
    <col min="9" max="9" width="34" customWidth="1"/>
    <col min="10" max="10" width="30" customWidth="1"/>
  </cols>
  <sheetData>
    <row r="1" spans="1:10" ht="18" x14ac:dyDescent="0.2">
      <c r="A1" s="2" t="s">
        <v>542</v>
      </c>
    </row>
    <row r="2" spans="1:10" x14ac:dyDescent="0.2">
      <c r="A2" s="3" t="s">
        <v>543</v>
      </c>
    </row>
    <row r="4" spans="1:10" x14ac:dyDescent="0.2">
      <c r="A4" s="4" t="s">
        <v>34</v>
      </c>
      <c r="B4" s="4" t="s">
        <v>544</v>
      </c>
      <c r="C4" s="4" t="s">
        <v>39</v>
      </c>
      <c r="D4" s="4" t="s">
        <v>413</v>
      </c>
      <c r="E4" s="4" t="s">
        <v>545</v>
      </c>
      <c r="F4" s="4" t="s">
        <v>546</v>
      </c>
      <c r="G4" s="4" t="s">
        <v>547</v>
      </c>
      <c r="H4" s="4" t="s">
        <v>548</v>
      </c>
      <c r="I4" s="4" t="s">
        <v>549</v>
      </c>
      <c r="J4" s="4" t="s">
        <v>40</v>
      </c>
    </row>
    <row r="5" spans="1:10" ht="150" customHeight="1" x14ac:dyDescent="0.2">
      <c r="A5" s="27" t="s">
        <v>294</v>
      </c>
      <c r="B5" s="25" t="s">
        <v>550</v>
      </c>
      <c r="C5" s="25" t="s">
        <v>7</v>
      </c>
      <c r="D5" s="25" t="s">
        <v>551</v>
      </c>
      <c r="E5" s="25" t="s">
        <v>552</v>
      </c>
      <c r="F5" s="25" t="s">
        <v>553</v>
      </c>
      <c r="G5" s="25" t="s">
        <v>554</v>
      </c>
      <c r="H5" s="25" t="s">
        <v>555</v>
      </c>
      <c r="I5" s="25" t="s">
        <v>556</v>
      </c>
      <c r="J5" s="25" t="s">
        <v>557</v>
      </c>
    </row>
    <row r="6" spans="1:10" ht="150" customHeight="1" x14ac:dyDescent="0.2">
      <c r="A6" s="27" t="s">
        <v>444</v>
      </c>
      <c r="B6" s="25" t="s">
        <v>558</v>
      </c>
      <c r="C6" s="25" t="s">
        <v>7</v>
      </c>
      <c r="D6" s="25" t="s">
        <v>559</v>
      </c>
      <c r="E6" s="25" t="s">
        <v>560</v>
      </c>
      <c r="F6" s="25" t="s">
        <v>561</v>
      </c>
      <c r="G6" s="25" t="s">
        <v>562</v>
      </c>
      <c r="H6" s="25" t="s">
        <v>563</v>
      </c>
      <c r="I6" s="25" t="s">
        <v>564</v>
      </c>
      <c r="J6" s="25" t="s">
        <v>565</v>
      </c>
    </row>
    <row r="7" spans="1:10" ht="150" customHeight="1" x14ac:dyDescent="0.2">
      <c r="A7" s="27" t="s">
        <v>277</v>
      </c>
      <c r="B7" s="25" t="s">
        <v>566</v>
      </c>
      <c r="C7" s="25" t="s">
        <v>7</v>
      </c>
      <c r="D7" s="25" t="s">
        <v>567</v>
      </c>
      <c r="E7" s="25" t="s">
        <v>568</v>
      </c>
      <c r="F7" s="25" t="s">
        <v>569</v>
      </c>
      <c r="G7" s="25" t="s">
        <v>570</v>
      </c>
      <c r="H7" s="25" t="s">
        <v>571</v>
      </c>
      <c r="I7" s="25" t="s">
        <v>572</v>
      </c>
      <c r="J7" s="25" t="s">
        <v>573</v>
      </c>
    </row>
    <row r="8" spans="1:10" ht="150" customHeight="1" x14ac:dyDescent="0.2">
      <c r="A8" s="27" t="s">
        <v>280</v>
      </c>
      <c r="B8" s="25" t="s">
        <v>566</v>
      </c>
      <c r="C8" s="25" t="s">
        <v>8</v>
      </c>
      <c r="D8" s="25" t="s">
        <v>574</v>
      </c>
      <c r="E8" s="25" t="s">
        <v>575</v>
      </c>
      <c r="F8" s="25" t="s">
        <v>576</v>
      </c>
      <c r="G8" s="25" t="s">
        <v>577</v>
      </c>
      <c r="H8" s="25" t="s">
        <v>578</v>
      </c>
      <c r="I8" s="25" t="s">
        <v>579</v>
      </c>
      <c r="J8" s="25" t="s">
        <v>580</v>
      </c>
    </row>
    <row r="9" spans="1:10" ht="150" customHeight="1" x14ac:dyDescent="0.2">
      <c r="A9" s="27" t="s">
        <v>283</v>
      </c>
      <c r="B9" s="25" t="s">
        <v>566</v>
      </c>
      <c r="C9" s="25" t="s">
        <v>8</v>
      </c>
      <c r="D9" s="25" t="s">
        <v>581</v>
      </c>
      <c r="E9" s="25" t="s">
        <v>582</v>
      </c>
      <c r="F9" s="25" t="s">
        <v>583</v>
      </c>
      <c r="G9" s="25" t="s">
        <v>584</v>
      </c>
      <c r="H9" s="25" t="s">
        <v>585</v>
      </c>
      <c r="I9" s="25" t="s">
        <v>586</v>
      </c>
      <c r="J9" s="25" t="s">
        <v>587</v>
      </c>
    </row>
    <row r="10" spans="1:10" ht="150" customHeight="1" x14ac:dyDescent="0.2">
      <c r="A10" s="27" t="s">
        <v>409</v>
      </c>
      <c r="B10" s="25" t="s">
        <v>588</v>
      </c>
      <c r="C10" s="25" t="s">
        <v>8</v>
      </c>
      <c r="D10" s="25" t="s">
        <v>574</v>
      </c>
      <c r="E10" s="25" t="s">
        <v>589</v>
      </c>
      <c r="F10" s="25" t="s">
        <v>590</v>
      </c>
      <c r="G10" s="25" t="s">
        <v>591</v>
      </c>
      <c r="H10" s="25" t="s">
        <v>592</v>
      </c>
      <c r="I10" s="25" t="s">
        <v>593</v>
      </c>
      <c r="J10" s="25" t="s">
        <v>594</v>
      </c>
    </row>
    <row r="11" spans="1:10" ht="150" customHeight="1" x14ac:dyDescent="0.2">
      <c r="A11" s="27" t="s">
        <v>595</v>
      </c>
      <c r="B11" s="25" t="s">
        <v>596</v>
      </c>
      <c r="C11" s="25" t="s">
        <v>7</v>
      </c>
      <c r="D11" s="25" t="s">
        <v>574</v>
      </c>
      <c r="E11" s="25" t="s">
        <v>597</v>
      </c>
      <c r="F11" s="25" t="s">
        <v>598</v>
      </c>
      <c r="G11" s="25" t="s">
        <v>599</v>
      </c>
      <c r="H11" s="25" t="s">
        <v>600</v>
      </c>
      <c r="I11" s="25" t="s">
        <v>601</v>
      </c>
      <c r="J11" s="25" t="s">
        <v>602</v>
      </c>
    </row>
    <row r="12" spans="1:10" ht="150" customHeight="1" x14ac:dyDescent="0.2">
      <c r="A12" s="27" t="s">
        <v>75</v>
      </c>
      <c r="B12" s="25" t="s">
        <v>596</v>
      </c>
      <c r="C12" s="25" t="s">
        <v>7</v>
      </c>
      <c r="D12" s="25" t="s">
        <v>574</v>
      </c>
      <c r="E12" s="25" t="s">
        <v>603</v>
      </c>
      <c r="F12" s="25" t="s">
        <v>604</v>
      </c>
      <c r="G12" s="25" t="s">
        <v>605</v>
      </c>
      <c r="H12" s="25" t="s">
        <v>606</v>
      </c>
      <c r="I12" s="25" t="s">
        <v>607</v>
      </c>
      <c r="J12" s="25" t="s">
        <v>608</v>
      </c>
    </row>
    <row r="13" spans="1:10" ht="150" customHeight="1" x14ac:dyDescent="0.2">
      <c r="A13" s="27" t="s">
        <v>92</v>
      </c>
      <c r="B13" s="25" t="s">
        <v>609</v>
      </c>
      <c r="C13" s="25" t="s">
        <v>8</v>
      </c>
      <c r="D13" s="25" t="s">
        <v>574</v>
      </c>
      <c r="E13" s="25" t="s">
        <v>610</v>
      </c>
      <c r="F13" s="25" t="s">
        <v>611</v>
      </c>
      <c r="G13" s="25" t="s">
        <v>612</v>
      </c>
      <c r="H13" s="25" t="s">
        <v>613</v>
      </c>
      <c r="I13" s="25" t="s">
        <v>614</v>
      </c>
      <c r="J13" s="25" t="s">
        <v>615</v>
      </c>
    </row>
    <row r="14" spans="1:10" ht="150" customHeight="1" x14ac:dyDescent="0.2">
      <c r="A14" s="27" t="s">
        <v>436</v>
      </c>
      <c r="B14" s="25" t="s">
        <v>616</v>
      </c>
      <c r="C14" s="25" t="s">
        <v>7</v>
      </c>
      <c r="D14" s="25" t="s">
        <v>574</v>
      </c>
      <c r="E14" s="25" t="s">
        <v>617</v>
      </c>
      <c r="F14" s="25" t="s">
        <v>618</v>
      </c>
      <c r="G14" s="25" t="s">
        <v>619</v>
      </c>
      <c r="H14" s="25" t="s">
        <v>620</v>
      </c>
      <c r="I14" s="25" t="s">
        <v>621</v>
      </c>
      <c r="J14" s="25" t="s">
        <v>622</v>
      </c>
    </row>
    <row r="15" spans="1:10" ht="150" customHeight="1" x14ac:dyDescent="0.2">
      <c r="A15" s="27" t="s">
        <v>102</v>
      </c>
      <c r="B15" s="25" t="s">
        <v>623</v>
      </c>
      <c r="C15" s="25" t="s">
        <v>8</v>
      </c>
      <c r="D15" s="25" t="s">
        <v>574</v>
      </c>
      <c r="E15" s="25" t="s">
        <v>624</v>
      </c>
      <c r="F15" s="25" t="s">
        <v>625</v>
      </c>
      <c r="G15" s="25" t="s">
        <v>626</v>
      </c>
      <c r="H15" s="25" t="s">
        <v>627</v>
      </c>
      <c r="I15" s="25" t="s">
        <v>628</v>
      </c>
      <c r="J15" s="25" t="s">
        <v>629</v>
      </c>
    </row>
    <row r="16" spans="1:10" ht="150" customHeight="1" x14ac:dyDescent="0.2">
      <c r="A16" s="27" t="s">
        <v>104</v>
      </c>
      <c r="B16" s="25" t="s">
        <v>623</v>
      </c>
      <c r="C16" s="25" t="s">
        <v>8</v>
      </c>
      <c r="D16" s="25" t="s">
        <v>2</v>
      </c>
      <c r="E16" s="25" t="s">
        <v>630</v>
      </c>
      <c r="F16" s="25" t="s">
        <v>631</v>
      </c>
      <c r="G16" s="25" t="s">
        <v>632</v>
      </c>
      <c r="H16" s="25" t="s">
        <v>633</v>
      </c>
      <c r="I16" s="25" t="s">
        <v>634</v>
      </c>
      <c r="J16" s="25" t="s">
        <v>12</v>
      </c>
    </row>
    <row r="17" spans="1:10" ht="150" customHeight="1" x14ac:dyDescent="0.2">
      <c r="A17" s="27" t="s">
        <v>286</v>
      </c>
      <c r="B17" s="25" t="s">
        <v>566</v>
      </c>
      <c r="C17" s="25" t="s">
        <v>8</v>
      </c>
      <c r="D17" s="25" t="s">
        <v>567</v>
      </c>
      <c r="E17" s="25" t="s">
        <v>635</v>
      </c>
      <c r="F17" s="25" t="s">
        <v>636</v>
      </c>
      <c r="G17" s="25" t="s">
        <v>637</v>
      </c>
      <c r="H17" s="25" t="s">
        <v>638</v>
      </c>
      <c r="I17" s="25" t="s">
        <v>639</v>
      </c>
      <c r="J17" s="25" t="s">
        <v>640</v>
      </c>
    </row>
    <row r="18" spans="1:10" ht="150" customHeight="1" x14ac:dyDescent="0.2">
      <c r="A18" s="27" t="s">
        <v>385</v>
      </c>
      <c r="B18" s="25" t="s">
        <v>641</v>
      </c>
      <c r="C18" s="25" t="s">
        <v>7</v>
      </c>
      <c r="D18" s="25" t="s">
        <v>574</v>
      </c>
      <c r="E18" s="25" t="s">
        <v>642</v>
      </c>
      <c r="F18" s="25" t="s">
        <v>643</v>
      </c>
      <c r="G18" s="25" t="s">
        <v>644</v>
      </c>
      <c r="H18" s="25" t="s">
        <v>645</v>
      </c>
      <c r="I18" s="25" t="s">
        <v>646</v>
      </c>
      <c r="J18" s="25" t="s">
        <v>647</v>
      </c>
    </row>
    <row r="19" spans="1:10" ht="150" customHeight="1" x14ac:dyDescent="0.2">
      <c r="A19" s="27" t="s">
        <v>389</v>
      </c>
      <c r="B19" s="25" t="s">
        <v>641</v>
      </c>
      <c r="C19" s="25" t="s">
        <v>7</v>
      </c>
      <c r="D19" s="25" t="s">
        <v>574</v>
      </c>
      <c r="E19" s="25" t="s">
        <v>648</v>
      </c>
      <c r="F19" s="25" t="s">
        <v>649</v>
      </c>
      <c r="G19" s="25" t="s">
        <v>650</v>
      </c>
      <c r="H19" s="25" t="s">
        <v>651</v>
      </c>
      <c r="I19" s="25" t="s">
        <v>652</v>
      </c>
      <c r="J19" s="25" t="s">
        <v>653</v>
      </c>
    </row>
    <row r="20" spans="1:10" ht="150" customHeight="1" x14ac:dyDescent="0.2">
      <c r="A20" s="27" t="s">
        <v>392</v>
      </c>
      <c r="B20" s="25" t="s">
        <v>641</v>
      </c>
      <c r="C20" s="25" t="s">
        <v>7</v>
      </c>
      <c r="D20" s="25" t="s">
        <v>574</v>
      </c>
      <c r="E20" s="25" t="s">
        <v>654</v>
      </c>
      <c r="F20" s="25" t="s">
        <v>655</v>
      </c>
      <c r="G20" s="25" t="s">
        <v>656</v>
      </c>
      <c r="H20" s="25" t="s">
        <v>657</v>
      </c>
      <c r="I20" s="25" t="s">
        <v>658</v>
      </c>
      <c r="J20" s="25" t="s">
        <v>659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1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K13" sqref="K13"/>
    </sheetView>
  </sheetViews>
  <sheetFormatPr baseColWidth="10" defaultColWidth="8.6640625" defaultRowHeight="15" x14ac:dyDescent="0.2"/>
  <cols>
    <col min="1" max="1" width="15" customWidth="1"/>
    <col min="2" max="2" width="20" customWidth="1"/>
    <col min="3" max="10" width="12" customWidth="1"/>
    <col min="11" max="11" width="56" customWidth="1"/>
  </cols>
  <sheetData>
    <row r="1" spans="1:11" ht="18" x14ac:dyDescent="0.2">
      <c r="A1" s="2" t="s">
        <v>660</v>
      </c>
    </row>
    <row r="2" spans="1:11" x14ac:dyDescent="0.2">
      <c r="A2" s="3" t="s">
        <v>661</v>
      </c>
    </row>
    <row r="4" spans="1:11" ht="45.75" customHeight="1" x14ac:dyDescent="0.2">
      <c r="A4" s="38" t="s">
        <v>2</v>
      </c>
      <c r="B4" s="38" t="s">
        <v>33</v>
      </c>
      <c r="C4" s="38" t="s">
        <v>662</v>
      </c>
      <c r="D4" s="38" t="s">
        <v>663</v>
      </c>
      <c r="E4" s="38" t="s">
        <v>664</v>
      </c>
      <c r="F4" s="38" t="s">
        <v>665</v>
      </c>
      <c r="G4" s="38" t="s">
        <v>666</v>
      </c>
      <c r="H4" s="38" t="s">
        <v>667</v>
      </c>
      <c r="I4" s="38" t="s">
        <v>668</v>
      </c>
      <c r="J4" s="38" t="s">
        <v>669</v>
      </c>
      <c r="K4" s="38" t="s">
        <v>670</v>
      </c>
    </row>
    <row r="5" spans="1:11" ht="48" customHeight="1" x14ac:dyDescent="0.2">
      <c r="B5" s="39" t="s">
        <v>671</v>
      </c>
      <c r="C5" s="40" t="s">
        <v>672</v>
      </c>
      <c r="D5" s="40" t="s">
        <v>673</v>
      </c>
      <c r="E5" s="40" t="s">
        <v>674</v>
      </c>
      <c r="F5" s="40" t="s">
        <v>675</v>
      </c>
      <c r="G5" s="40" t="s">
        <v>676</v>
      </c>
      <c r="H5" s="40" t="s">
        <v>677</v>
      </c>
      <c r="I5" s="40" t="s">
        <v>678</v>
      </c>
      <c r="J5" s="40" t="s">
        <v>679</v>
      </c>
    </row>
    <row r="6" spans="1:11" ht="31.5" customHeight="1" x14ac:dyDescent="0.2">
      <c r="A6" s="5" t="s">
        <v>11</v>
      </c>
      <c r="B6" s="41" t="s">
        <v>11</v>
      </c>
      <c r="C6" s="42" t="s">
        <v>680</v>
      </c>
      <c r="D6" s="42" t="s">
        <v>680</v>
      </c>
      <c r="E6" s="42" t="s">
        <v>680</v>
      </c>
      <c r="F6" s="42" t="s">
        <v>680</v>
      </c>
      <c r="G6" s="42" t="s">
        <v>680</v>
      </c>
      <c r="H6" s="42" t="s">
        <v>680</v>
      </c>
      <c r="I6" s="42" t="s">
        <v>680</v>
      </c>
      <c r="J6" s="42" t="s">
        <v>680</v>
      </c>
      <c r="K6" s="25" t="s">
        <v>681</v>
      </c>
    </row>
    <row r="7" spans="1:11" ht="31.5" customHeight="1" x14ac:dyDescent="0.2">
      <c r="A7" s="8" t="s">
        <v>12</v>
      </c>
      <c r="B7" s="41" t="s">
        <v>69</v>
      </c>
      <c r="C7" s="42" t="s">
        <v>680</v>
      </c>
      <c r="D7" s="42" t="s">
        <v>680</v>
      </c>
      <c r="E7" s="42" t="s">
        <v>680</v>
      </c>
      <c r="F7" s="42" t="s">
        <v>680</v>
      </c>
      <c r="G7" s="42" t="s">
        <v>680</v>
      </c>
      <c r="H7" s="42" t="s">
        <v>680</v>
      </c>
      <c r="I7" s="42" t="s">
        <v>680</v>
      </c>
      <c r="J7" s="42" t="s">
        <v>680</v>
      </c>
      <c r="K7" s="25" t="s">
        <v>682</v>
      </c>
    </row>
    <row r="8" spans="1:11" ht="31.5" customHeight="1" x14ac:dyDescent="0.2">
      <c r="A8" s="8" t="s">
        <v>12</v>
      </c>
      <c r="B8" s="41" t="s">
        <v>88</v>
      </c>
      <c r="C8" s="42" t="s">
        <v>680</v>
      </c>
      <c r="D8" s="42" t="s">
        <v>680</v>
      </c>
      <c r="E8" s="42" t="s">
        <v>680</v>
      </c>
      <c r="F8" s="42" t="s">
        <v>680</v>
      </c>
      <c r="G8" s="42" t="s">
        <v>680</v>
      </c>
      <c r="H8" s="42" t="s">
        <v>680</v>
      </c>
      <c r="I8" s="42" t="s">
        <v>680</v>
      </c>
      <c r="J8" s="42" t="s">
        <v>680</v>
      </c>
      <c r="K8" s="25" t="s">
        <v>683</v>
      </c>
    </row>
    <row r="9" spans="1:11" ht="31.5" customHeight="1" x14ac:dyDescent="0.2">
      <c r="A9" s="8" t="s">
        <v>12</v>
      </c>
      <c r="B9" s="41" t="s">
        <v>101</v>
      </c>
      <c r="C9" s="42" t="s">
        <v>680</v>
      </c>
      <c r="D9" s="42" t="s">
        <v>680</v>
      </c>
      <c r="E9" s="42" t="s">
        <v>680</v>
      </c>
      <c r="F9" s="42" t="s">
        <v>680</v>
      </c>
      <c r="G9" s="42" t="s">
        <v>680</v>
      </c>
      <c r="H9" s="42" t="s">
        <v>680</v>
      </c>
      <c r="I9" s="42" t="s">
        <v>680</v>
      </c>
      <c r="J9" s="42" t="s">
        <v>680</v>
      </c>
      <c r="K9" s="25" t="s">
        <v>684</v>
      </c>
    </row>
    <row r="10" spans="1:11" ht="31.5" customHeight="1" x14ac:dyDescent="0.2">
      <c r="A10" s="9" t="s">
        <v>13</v>
      </c>
      <c r="B10" s="41" t="s">
        <v>111</v>
      </c>
      <c r="C10" s="42" t="s">
        <v>680</v>
      </c>
      <c r="D10" s="42" t="s">
        <v>680</v>
      </c>
      <c r="E10" s="42" t="s">
        <v>680</v>
      </c>
      <c r="F10" s="42" t="s">
        <v>680</v>
      </c>
      <c r="G10" s="42" t="s">
        <v>680</v>
      </c>
      <c r="H10" s="42" t="s">
        <v>680</v>
      </c>
      <c r="I10" s="42" t="s">
        <v>680</v>
      </c>
      <c r="J10" s="42" t="s">
        <v>680</v>
      </c>
      <c r="K10" s="25" t="s">
        <v>685</v>
      </c>
    </row>
    <row r="11" spans="1:11" ht="31.5" customHeight="1" x14ac:dyDescent="0.2">
      <c r="A11" s="9" t="s">
        <v>13</v>
      </c>
      <c r="B11" s="41" t="s">
        <v>136</v>
      </c>
      <c r="C11" s="42" t="s">
        <v>680</v>
      </c>
      <c r="D11" s="42" t="s">
        <v>680</v>
      </c>
      <c r="E11" s="42" t="s">
        <v>680</v>
      </c>
      <c r="F11" s="42" t="s">
        <v>680</v>
      </c>
      <c r="G11" s="42" t="s">
        <v>680</v>
      </c>
      <c r="H11" s="42" t="s">
        <v>680</v>
      </c>
      <c r="I11" s="42" t="s">
        <v>680</v>
      </c>
      <c r="J11" s="42" t="s">
        <v>680</v>
      </c>
      <c r="K11" s="25" t="s">
        <v>686</v>
      </c>
    </row>
    <row r="12" spans="1:11" ht="31.5" customHeight="1" x14ac:dyDescent="0.2">
      <c r="A12" s="9" t="s">
        <v>13</v>
      </c>
      <c r="B12" s="41" t="s">
        <v>149</v>
      </c>
      <c r="C12" s="42" t="s">
        <v>687</v>
      </c>
      <c r="D12" s="42" t="s">
        <v>687</v>
      </c>
      <c r="E12" s="42" t="s">
        <v>680</v>
      </c>
      <c r="F12" s="42" t="s">
        <v>687</v>
      </c>
      <c r="G12" s="42" t="s">
        <v>687</v>
      </c>
      <c r="H12" s="42" t="s">
        <v>687</v>
      </c>
      <c r="I12" s="42" t="s">
        <v>687</v>
      </c>
      <c r="J12" s="42" t="s">
        <v>687</v>
      </c>
      <c r="K12" s="25" t="s">
        <v>688</v>
      </c>
    </row>
    <row r="13" spans="1:11" ht="31.5" customHeight="1" x14ac:dyDescent="0.2">
      <c r="A13" s="9" t="s">
        <v>13</v>
      </c>
      <c r="B13" s="41" t="s">
        <v>165</v>
      </c>
      <c r="C13" s="42" t="s">
        <v>680</v>
      </c>
      <c r="D13" s="42" t="s">
        <v>680</v>
      </c>
      <c r="E13" s="42" t="s">
        <v>680</v>
      </c>
      <c r="F13" s="42" t="s">
        <v>680</v>
      </c>
      <c r="G13" s="42" t="s">
        <v>689</v>
      </c>
      <c r="H13" s="42" t="s">
        <v>680</v>
      </c>
      <c r="I13" s="42" t="s">
        <v>690</v>
      </c>
      <c r="J13" s="42" t="s">
        <v>680</v>
      </c>
      <c r="K13" s="25" t="s">
        <v>691</v>
      </c>
    </row>
    <row r="14" spans="1:11" ht="31.5" customHeight="1" x14ac:dyDescent="0.2">
      <c r="A14" s="10" t="s">
        <v>14</v>
      </c>
      <c r="B14" s="41" t="s">
        <v>195</v>
      </c>
      <c r="C14" s="42" t="s">
        <v>680</v>
      </c>
      <c r="D14" s="42" t="s">
        <v>680</v>
      </c>
      <c r="E14" s="42" t="s">
        <v>680</v>
      </c>
      <c r="F14" s="42" t="s">
        <v>680</v>
      </c>
      <c r="G14" s="42" t="s">
        <v>680</v>
      </c>
      <c r="H14" s="42" t="s">
        <v>680</v>
      </c>
      <c r="I14" s="42" t="s">
        <v>680</v>
      </c>
      <c r="J14" s="42" t="s">
        <v>680</v>
      </c>
      <c r="K14" s="25" t="s">
        <v>692</v>
      </c>
    </row>
    <row r="15" spans="1:11" ht="31.5" customHeight="1" x14ac:dyDescent="0.2">
      <c r="A15" s="10" t="s">
        <v>14</v>
      </c>
      <c r="B15" s="41" t="s">
        <v>225</v>
      </c>
      <c r="C15" s="42" t="s">
        <v>680</v>
      </c>
      <c r="D15" s="42" t="s">
        <v>680</v>
      </c>
      <c r="E15" s="42" t="s">
        <v>680</v>
      </c>
      <c r="F15" s="42" t="s">
        <v>680</v>
      </c>
      <c r="G15" s="42" t="s">
        <v>680</v>
      </c>
      <c r="H15" s="42" t="s">
        <v>680</v>
      </c>
      <c r="I15" s="42" t="s">
        <v>680</v>
      </c>
      <c r="J15" s="42" t="s">
        <v>680</v>
      </c>
      <c r="K15" s="25" t="s">
        <v>693</v>
      </c>
    </row>
    <row r="16" spans="1:11" ht="31.5" customHeight="1" x14ac:dyDescent="0.2">
      <c r="A16" s="10" t="s">
        <v>14</v>
      </c>
      <c r="B16" s="41" t="s">
        <v>250</v>
      </c>
      <c r="C16" s="42" t="s">
        <v>680</v>
      </c>
      <c r="D16" s="42" t="s">
        <v>680</v>
      </c>
      <c r="E16" s="42" t="s">
        <v>680</v>
      </c>
      <c r="F16" s="42" t="s">
        <v>680</v>
      </c>
      <c r="G16" s="42" t="s">
        <v>680</v>
      </c>
      <c r="H16" s="42" t="s">
        <v>680</v>
      </c>
      <c r="I16" s="42" t="s">
        <v>680</v>
      </c>
      <c r="J16" s="42" t="s">
        <v>680</v>
      </c>
      <c r="K16" s="25" t="s">
        <v>694</v>
      </c>
    </row>
    <row r="17" spans="1:11" ht="31.5" customHeight="1" x14ac:dyDescent="0.2">
      <c r="A17" s="10" t="s">
        <v>14</v>
      </c>
      <c r="B17" s="41" t="s">
        <v>265</v>
      </c>
      <c r="C17" s="42" t="s">
        <v>680</v>
      </c>
      <c r="D17" s="42" t="s">
        <v>680</v>
      </c>
      <c r="E17" s="42" t="s">
        <v>680</v>
      </c>
      <c r="F17" s="42" t="s">
        <v>680</v>
      </c>
      <c r="G17" s="42" t="s">
        <v>680</v>
      </c>
      <c r="H17" s="42" t="s">
        <v>680</v>
      </c>
      <c r="I17" s="42" t="s">
        <v>680</v>
      </c>
      <c r="J17" s="42" t="s">
        <v>680</v>
      </c>
      <c r="K17" s="25" t="s">
        <v>695</v>
      </c>
    </row>
    <row r="18" spans="1:11" ht="31.5" customHeight="1" x14ac:dyDescent="0.2">
      <c r="A18" s="11" t="s">
        <v>15</v>
      </c>
      <c r="B18" s="41" t="s">
        <v>288</v>
      </c>
      <c r="C18" s="42" t="s">
        <v>680</v>
      </c>
      <c r="D18" s="42" t="s">
        <v>680</v>
      </c>
      <c r="E18" s="42" t="s">
        <v>680</v>
      </c>
      <c r="F18" s="42" t="s">
        <v>690</v>
      </c>
      <c r="G18" s="42" t="s">
        <v>690</v>
      </c>
      <c r="H18" s="42" t="s">
        <v>690</v>
      </c>
      <c r="I18" s="42" t="s">
        <v>690</v>
      </c>
      <c r="J18" s="42" t="s">
        <v>680</v>
      </c>
      <c r="K18" s="25" t="s">
        <v>696</v>
      </c>
    </row>
    <row r="19" spans="1:11" ht="31.5" customHeight="1" x14ac:dyDescent="0.2">
      <c r="A19" s="12" t="s">
        <v>16</v>
      </c>
      <c r="B19" s="41" t="s">
        <v>349</v>
      </c>
      <c r="C19" s="42" t="s">
        <v>680</v>
      </c>
      <c r="D19" s="42" t="s">
        <v>680</v>
      </c>
      <c r="E19" s="42" t="s">
        <v>680</v>
      </c>
      <c r="F19" s="42" t="s">
        <v>680</v>
      </c>
      <c r="G19" s="42" t="s">
        <v>680</v>
      </c>
      <c r="H19" s="42" t="s">
        <v>680</v>
      </c>
      <c r="I19" s="42" t="s">
        <v>680</v>
      </c>
      <c r="J19" s="42" t="s">
        <v>680</v>
      </c>
      <c r="K19" s="25" t="s">
        <v>697</v>
      </c>
    </row>
    <row r="20" spans="1:11" ht="31.5" customHeight="1" x14ac:dyDescent="0.2">
      <c r="A20" s="12" t="s">
        <v>16</v>
      </c>
      <c r="B20" s="41" t="s">
        <v>365</v>
      </c>
      <c r="C20" s="42" t="s">
        <v>680</v>
      </c>
      <c r="D20" s="42" t="s">
        <v>680</v>
      </c>
      <c r="E20" s="42" t="s">
        <v>680</v>
      </c>
      <c r="F20" s="42" t="s">
        <v>690</v>
      </c>
      <c r="G20" s="42" t="s">
        <v>690</v>
      </c>
      <c r="H20" s="42" t="s">
        <v>690</v>
      </c>
      <c r="I20" s="42" t="s">
        <v>690</v>
      </c>
      <c r="J20" s="42" t="s">
        <v>680</v>
      </c>
      <c r="K20" s="25" t="s">
        <v>698</v>
      </c>
    </row>
    <row r="21" spans="1:11" ht="31.5" customHeight="1" x14ac:dyDescent="0.2">
      <c r="A21" s="11" t="s">
        <v>15</v>
      </c>
      <c r="B21" s="41" t="s">
        <v>305</v>
      </c>
      <c r="C21" s="42" t="s">
        <v>690</v>
      </c>
      <c r="D21" s="42" t="s">
        <v>690</v>
      </c>
      <c r="E21" s="42" t="s">
        <v>690</v>
      </c>
      <c r="F21" s="42" t="s">
        <v>680</v>
      </c>
      <c r="G21" s="42" t="s">
        <v>690</v>
      </c>
      <c r="H21" s="42" t="s">
        <v>680</v>
      </c>
      <c r="I21" s="42" t="s">
        <v>690</v>
      </c>
      <c r="J21" s="42" t="s">
        <v>690</v>
      </c>
      <c r="K21" s="25" t="s">
        <v>699</v>
      </c>
    </row>
    <row r="22" spans="1:11" ht="31.5" customHeight="1" x14ac:dyDescent="0.2">
      <c r="A22" s="11" t="s">
        <v>15</v>
      </c>
      <c r="B22" s="41" t="s">
        <v>320</v>
      </c>
      <c r="C22" s="42" t="s">
        <v>690</v>
      </c>
      <c r="D22" s="42" t="s">
        <v>690</v>
      </c>
      <c r="E22" s="42" t="s">
        <v>690</v>
      </c>
      <c r="F22" s="42" t="s">
        <v>690</v>
      </c>
      <c r="G22" s="42" t="s">
        <v>680</v>
      </c>
      <c r="H22" s="42" t="s">
        <v>690</v>
      </c>
      <c r="I22" s="42" t="s">
        <v>690</v>
      </c>
      <c r="J22" s="42" t="s">
        <v>690</v>
      </c>
      <c r="K22" s="25" t="s">
        <v>700</v>
      </c>
    </row>
    <row r="23" spans="1:11" ht="31.5" customHeight="1" x14ac:dyDescent="0.2">
      <c r="A23" s="11" t="s">
        <v>15</v>
      </c>
      <c r="B23" s="41" t="s">
        <v>334</v>
      </c>
      <c r="C23" s="42" t="s">
        <v>680</v>
      </c>
      <c r="D23" s="42" t="s">
        <v>690</v>
      </c>
      <c r="E23" s="42" t="s">
        <v>690</v>
      </c>
      <c r="F23" s="42" t="s">
        <v>690</v>
      </c>
      <c r="G23" s="42" t="s">
        <v>690</v>
      </c>
      <c r="H23" s="42" t="s">
        <v>690</v>
      </c>
      <c r="I23" s="42" t="s">
        <v>690</v>
      </c>
      <c r="J23" s="42" t="s">
        <v>690</v>
      </c>
      <c r="K23" s="25" t="s">
        <v>701</v>
      </c>
    </row>
    <row r="24" spans="1:11" ht="31.5" customHeight="1" x14ac:dyDescent="0.2">
      <c r="A24" s="13" t="s">
        <v>17</v>
      </c>
      <c r="B24" s="41" t="s">
        <v>380</v>
      </c>
      <c r="C24" s="42" t="s">
        <v>680</v>
      </c>
      <c r="D24" s="42" t="s">
        <v>680</v>
      </c>
      <c r="E24" s="42" t="s">
        <v>680</v>
      </c>
      <c r="F24" s="42" t="s">
        <v>680</v>
      </c>
      <c r="G24" s="42" t="s">
        <v>680</v>
      </c>
      <c r="H24" s="42" t="s">
        <v>680</v>
      </c>
      <c r="I24" s="42" t="s">
        <v>680</v>
      </c>
      <c r="J24" s="42" t="s">
        <v>680</v>
      </c>
      <c r="K24" s="25" t="s">
        <v>702</v>
      </c>
    </row>
    <row r="25" spans="1:11" ht="31.5" customHeight="1" x14ac:dyDescent="0.2">
      <c r="A25" s="13" t="s">
        <v>17</v>
      </c>
      <c r="B25" s="41" t="s">
        <v>398</v>
      </c>
      <c r="C25" s="42" t="s">
        <v>680</v>
      </c>
      <c r="D25" s="42" t="s">
        <v>680</v>
      </c>
      <c r="E25" s="42" t="s">
        <v>680</v>
      </c>
      <c r="F25" s="42" t="s">
        <v>680</v>
      </c>
      <c r="G25" s="42" t="s">
        <v>680</v>
      </c>
      <c r="H25" s="42" t="s">
        <v>680</v>
      </c>
      <c r="I25" s="42" t="s">
        <v>680</v>
      </c>
      <c r="J25" s="42" t="s">
        <v>680</v>
      </c>
      <c r="K25" s="25" t="s">
        <v>703</v>
      </c>
    </row>
    <row r="26" spans="1:11" ht="31.5" customHeight="1" x14ac:dyDescent="0.2">
      <c r="A26" s="13" t="s">
        <v>17</v>
      </c>
      <c r="B26" s="41" t="s">
        <v>412</v>
      </c>
      <c r="C26" s="42" t="s">
        <v>704</v>
      </c>
      <c r="D26" s="42" t="s">
        <v>704</v>
      </c>
      <c r="E26" s="42" t="s">
        <v>704</v>
      </c>
      <c r="F26" s="42" t="s">
        <v>704</v>
      </c>
      <c r="G26" s="42" t="s">
        <v>704</v>
      </c>
      <c r="H26" s="42" t="s">
        <v>704</v>
      </c>
      <c r="I26" s="42" t="s">
        <v>704</v>
      </c>
      <c r="J26" s="42" t="s">
        <v>704</v>
      </c>
      <c r="K26" s="25" t="s">
        <v>705</v>
      </c>
    </row>
    <row r="27" spans="1:11" ht="31.5" customHeight="1" x14ac:dyDescent="0.2">
      <c r="A27" s="13" t="s">
        <v>17</v>
      </c>
      <c r="B27" s="41" t="s">
        <v>439</v>
      </c>
      <c r="C27" s="42" t="s">
        <v>704</v>
      </c>
      <c r="D27" s="42" t="s">
        <v>704</v>
      </c>
      <c r="E27" s="42" t="s">
        <v>704</v>
      </c>
      <c r="F27" s="42" t="s">
        <v>704</v>
      </c>
      <c r="G27" s="42" t="s">
        <v>704</v>
      </c>
      <c r="H27" s="42" t="s">
        <v>704</v>
      </c>
      <c r="I27" s="42" t="s">
        <v>704</v>
      </c>
      <c r="J27" s="42" t="s">
        <v>704</v>
      </c>
      <c r="K27" s="25" t="s">
        <v>706</v>
      </c>
    </row>
    <row r="29" spans="1:11" x14ac:dyDescent="0.2">
      <c r="B29" s="14" t="s">
        <v>707</v>
      </c>
      <c r="C29" s="43">
        <f t="shared" ref="C29:J29" si="0">COUNTIF(C6:C27,"Usa")+COUNTIF(C6:C27,"Opcional")</f>
        <v>17</v>
      </c>
      <c r="D29" s="43">
        <f t="shared" si="0"/>
        <v>16</v>
      </c>
      <c r="E29" s="43">
        <f t="shared" si="0"/>
        <v>17</v>
      </c>
      <c r="F29" s="43">
        <f t="shared" si="0"/>
        <v>15</v>
      </c>
      <c r="G29" s="43">
        <f t="shared" si="0"/>
        <v>15</v>
      </c>
      <c r="H29" s="43">
        <f t="shared" si="0"/>
        <v>15</v>
      </c>
      <c r="I29" s="43">
        <f t="shared" si="0"/>
        <v>13</v>
      </c>
      <c r="J29" s="43">
        <f t="shared" si="0"/>
        <v>16</v>
      </c>
    </row>
    <row r="30" spans="1:11" x14ac:dyDescent="0.2">
      <c r="B30" s="14" t="s">
        <v>708</v>
      </c>
      <c r="C30" s="43">
        <f t="shared" ref="C30:J30" si="1">COUNTIF(C6:C27,"Vía AEP")+COUNTIF(C6:C27,"Compartido")</f>
        <v>3</v>
      </c>
      <c r="D30" s="43">
        <f t="shared" si="1"/>
        <v>3</v>
      </c>
      <c r="E30" s="43">
        <f t="shared" si="1"/>
        <v>2</v>
      </c>
      <c r="F30" s="43">
        <f t="shared" si="1"/>
        <v>3</v>
      </c>
      <c r="G30" s="43">
        <f t="shared" si="1"/>
        <v>3</v>
      </c>
      <c r="H30" s="43">
        <f t="shared" si="1"/>
        <v>3</v>
      </c>
      <c r="I30" s="43">
        <f t="shared" si="1"/>
        <v>3</v>
      </c>
      <c r="J30" s="43">
        <f t="shared" si="1"/>
        <v>3</v>
      </c>
    </row>
    <row r="31" spans="1:11" x14ac:dyDescent="0.2">
      <c r="B31" s="14" t="s">
        <v>709</v>
      </c>
      <c r="C31" s="43">
        <f t="shared" ref="C31:J31" si="2">COUNTIF(C6:C27,"Por confirmar")</f>
        <v>0</v>
      </c>
      <c r="D31" s="43">
        <f t="shared" si="2"/>
        <v>0</v>
      </c>
      <c r="E31" s="43">
        <f t="shared" si="2"/>
        <v>0</v>
      </c>
      <c r="F31" s="43">
        <f t="shared" si="2"/>
        <v>0</v>
      </c>
      <c r="G31" s="43">
        <f t="shared" si="2"/>
        <v>0</v>
      </c>
      <c r="H31" s="43">
        <f t="shared" si="2"/>
        <v>0</v>
      </c>
      <c r="I31" s="43">
        <f t="shared" si="2"/>
        <v>0</v>
      </c>
      <c r="J31" s="43">
        <f t="shared" si="2"/>
        <v>0</v>
      </c>
    </row>
  </sheetData>
  <conditionalFormatting sqref="C6:J27">
    <cfRule type="cellIs" dxfId="7" priority="2" operator="equal">
      <formula>"Usa"</formula>
    </cfRule>
    <cfRule type="cellIs" dxfId="6" priority="3" operator="equal">
      <formula>"Vía AEP"</formula>
    </cfRule>
    <cfRule type="cellIs" dxfId="5" priority="4" operator="equal">
      <formula>"Compartido"</formula>
    </cfRule>
    <cfRule type="cellIs" dxfId="4" priority="5" operator="equal">
      <formula>"Opcional"</formula>
    </cfRule>
    <cfRule type="cellIs" dxfId="3" priority="6" operator="equal">
      <formula>"Por confirmar"</formula>
    </cfRule>
    <cfRule type="cellIs" dxfId="2" priority="7" operator="equal">
      <formula>"No aplica"</formula>
    </cfRule>
  </conditionalFormatting>
  <dataValidations count="1">
    <dataValidation type="list" sqref="C6:J27" xr:uid="{00000000-0002-0000-0500-000000000000}">
      <formula1>"Usa,Vía AEP,Compartido,Opcional,Por confirmar,No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7" sqref="D7"/>
    </sheetView>
  </sheetViews>
  <sheetFormatPr baseColWidth="10" defaultColWidth="8.6640625" defaultRowHeight="15" x14ac:dyDescent="0.2"/>
  <cols>
    <col min="1" max="1" width="30" customWidth="1"/>
    <col min="2" max="2" width="32" customWidth="1"/>
    <col min="3" max="3" width="46" customWidth="1"/>
    <col min="4" max="4" width="40" customWidth="1"/>
    <col min="5" max="5" width="46" customWidth="1"/>
    <col min="6" max="6" width="14" customWidth="1"/>
  </cols>
  <sheetData>
    <row r="1" spans="1:6" ht="18" x14ac:dyDescent="0.2">
      <c r="A1" s="2" t="s">
        <v>710</v>
      </c>
    </row>
    <row r="2" spans="1:6" x14ac:dyDescent="0.2">
      <c r="A2" s="3" t="s">
        <v>711</v>
      </c>
    </row>
    <row r="4" spans="1:6" ht="33.75" customHeight="1" x14ac:dyDescent="0.2">
      <c r="A4" s="38" t="s">
        <v>712</v>
      </c>
      <c r="B4" s="38" t="s">
        <v>713</v>
      </c>
      <c r="C4" s="38" t="s">
        <v>35</v>
      </c>
      <c r="D4" s="38" t="s">
        <v>714</v>
      </c>
      <c r="E4" s="38" t="s">
        <v>715</v>
      </c>
      <c r="F4" s="38" t="s">
        <v>716</v>
      </c>
    </row>
    <row r="5" spans="1:6" ht="70" x14ac:dyDescent="0.2">
      <c r="A5" s="27" t="s">
        <v>717</v>
      </c>
      <c r="B5" s="25" t="s">
        <v>2</v>
      </c>
      <c r="C5" s="25" t="s">
        <v>718</v>
      </c>
      <c r="D5" s="25" t="s">
        <v>719</v>
      </c>
      <c r="E5" s="25" t="s">
        <v>720</v>
      </c>
      <c r="F5" s="28"/>
    </row>
    <row r="6" spans="1:6" x14ac:dyDescent="0.2">
      <c r="A6" s="27" t="s">
        <v>721</v>
      </c>
      <c r="B6" s="25" t="s">
        <v>2</v>
      </c>
      <c r="C6" s="25" t="s">
        <v>722</v>
      </c>
      <c r="D6" s="25" t="s">
        <v>11</v>
      </c>
      <c r="E6" s="25" t="s">
        <v>723</v>
      </c>
      <c r="F6" s="28"/>
    </row>
    <row r="7" spans="1:6" ht="28" x14ac:dyDescent="0.2">
      <c r="A7" s="27" t="s">
        <v>724</v>
      </c>
      <c r="B7" s="25" t="s">
        <v>725</v>
      </c>
      <c r="C7" s="25" t="s">
        <v>726</v>
      </c>
      <c r="D7" s="25" t="s">
        <v>727</v>
      </c>
      <c r="E7" s="25" t="s">
        <v>728</v>
      </c>
      <c r="F7" s="28"/>
    </row>
    <row r="8" spans="1:6" ht="28" x14ac:dyDescent="0.2">
      <c r="A8" s="27" t="s">
        <v>265</v>
      </c>
      <c r="B8" s="25" t="s">
        <v>725</v>
      </c>
      <c r="C8" s="25" t="s">
        <v>729</v>
      </c>
      <c r="D8" s="25" t="s">
        <v>730</v>
      </c>
      <c r="E8" s="25" t="s">
        <v>731</v>
      </c>
      <c r="F8" s="28"/>
    </row>
    <row r="9" spans="1:6" x14ac:dyDescent="0.2">
      <c r="A9" s="27" t="s">
        <v>380</v>
      </c>
      <c r="B9" s="25" t="s">
        <v>725</v>
      </c>
      <c r="C9" s="25" t="s">
        <v>732</v>
      </c>
      <c r="D9" s="25" t="s">
        <v>733</v>
      </c>
      <c r="E9" s="25" t="s">
        <v>734</v>
      </c>
      <c r="F9" s="28"/>
    </row>
    <row r="10" spans="1:6" x14ac:dyDescent="0.2">
      <c r="A10" s="27" t="s">
        <v>398</v>
      </c>
      <c r="B10" s="25" t="s">
        <v>725</v>
      </c>
      <c r="C10" s="25" t="s">
        <v>735</v>
      </c>
      <c r="D10" s="25" t="s">
        <v>736</v>
      </c>
      <c r="E10" s="25" t="s">
        <v>136</v>
      </c>
      <c r="F10" s="28"/>
    </row>
    <row r="11" spans="1:6" x14ac:dyDescent="0.2">
      <c r="A11" s="27" t="s">
        <v>737</v>
      </c>
      <c r="B11" s="25" t="s">
        <v>725</v>
      </c>
      <c r="C11" s="25" t="s">
        <v>738</v>
      </c>
      <c r="D11" s="25" t="s">
        <v>11</v>
      </c>
      <c r="E11" s="25" t="s">
        <v>111</v>
      </c>
      <c r="F11" s="28"/>
    </row>
    <row r="12" spans="1:6" ht="28" x14ac:dyDescent="0.2">
      <c r="A12" s="27" t="s">
        <v>149</v>
      </c>
      <c r="B12" s="25" t="s">
        <v>664</v>
      </c>
      <c r="C12" s="25" t="s">
        <v>739</v>
      </c>
      <c r="D12" s="25" t="s">
        <v>740</v>
      </c>
      <c r="E12" s="25" t="s">
        <v>741</v>
      </c>
      <c r="F12" s="28"/>
    </row>
    <row r="13" spans="1:6" ht="28" x14ac:dyDescent="0.2">
      <c r="A13" s="27" t="s">
        <v>742</v>
      </c>
      <c r="B13" s="25" t="s">
        <v>743</v>
      </c>
      <c r="C13" s="25" t="s">
        <v>744</v>
      </c>
      <c r="D13" s="25" t="s">
        <v>745</v>
      </c>
      <c r="E13" s="25" t="s">
        <v>746</v>
      </c>
      <c r="F13" s="28"/>
    </row>
    <row r="14" spans="1:6" ht="28" x14ac:dyDescent="0.2">
      <c r="A14" s="27" t="s">
        <v>747</v>
      </c>
      <c r="B14" s="25" t="s">
        <v>748</v>
      </c>
      <c r="C14" s="25" t="s">
        <v>749</v>
      </c>
      <c r="D14" s="25" t="s">
        <v>750</v>
      </c>
      <c r="E14" s="25" t="s">
        <v>149</v>
      </c>
      <c r="F14" s="28"/>
    </row>
    <row r="15" spans="1:6" ht="28" x14ac:dyDescent="0.2">
      <c r="A15" s="27" t="s">
        <v>751</v>
      </c>
      <c r="B15" s="25" t="s">
        <v>551</v>
      </c>
      <c r="C15" s="25" t="s">
        <v>752</v>
      </c>
      <c r="D15" s="25" t="s">
        <v>753</v>
      </c>
      <c r="E15" s="25" t="s">
        <v>754</v>
      </c>
      <c r="F15" s="28"/>
    </row>
    <row r="16" spans="1:6" ht="28" x14ac:dyDescent="0.2">
      <c r="A16" s="27" t="s">
        <v>755</v>
      </c>
      <c r="B16" s="25" t="s">
        <v>551</v>
      </c>
      <c r="C16" s="25" t="s">
        <v>756</v>
      </c>
      <c r="D16" s="25" t="s">
        <v>757</v>
      </c>
      <c r="E16" s="25" t="s">
        <v>250</v>
      </c>
      <c r="F16" s="28"/>
    </row>
    <row r="17" spans="1:6" x14ac:dyDescent="0.2">
      <c r="A17" s="27" t="s">
        <v>758</v>
      </c>
      <c r="B17" s="25" t="s">
        <v>759</v>
      </c>
      <c r="C17" s="25" t="s">
        <v>760</v>
      </c>
      <c r="D17" s="25" t="s">
        <v>761</v>
      </c>
      <c r="E17" s="25" t="s">
        <v>431</v>
      </c>
      <c r="F17" s="28"/>
    </row>
    <row r="18" spans="1:6" x14ac:dyDescent="0.2">
      <c r="A18" s="27" t="s">
        <v>762</v>
      </c>
      <c r="B18" s="25" t="s">
        <v>759</v>
      </c>
      <c r="C18" s="25" t="s">
        <v>763</v>
      </c>
      <c r="D18" s="25" t="s">
        <v>11</v>
      </c>
      <c r="E18" s="25" t="s">
        <v>305</v>
      </c>
      <c r="F18" s="28"/>
    </row>
    <row r="19" spans="1:6" x14ac:dyDescent="0.2">
      <c r="A19" s="27" t="s">
        <v>764</v>
      </c>
      <c r="B19" s="25" t="s">
        <v>666</v>
      </c>
      <c r="C19" s="25" t="s">
        <v>765</v>
      </c>
      <c r="D19" s="25" t="s">
        <v>766</v>
      </c>
      <c r="E19" s="25" t="s">
        <v>165</v>
      </c>
      <c r="F19" s="28"/>
    </row>
    <row r="20" spans="1:6" x14ac:dyDescent="0.2">
      <c r="A20" s="27" t="s">
        <v>767</v>
      </c>
      <c r="B20" s="25" t="s">
        <v>666</v>
      </c>
      <c r="C20" s="25" t="s">
        <v>768</v>
      </c>
      <c r="D20" s="25" t="s">
        <v>11</v>
      </c>
      <c r="E20" s="25" t="s">
        <v>320</v>
      </c>
      <c r="F20" s="28"/>
    </row>
    <row r="21" spans="1:6" x14ac:dyDescent="0.2">
      <c r="A21" s="27" t="s">
        <v>769</v>
      </c>
      <c r="B21" s="25" t="s">
        <v>662</v>
      </c>
      <c r="C21" s="25" t="s">
        <v>770</v>
      </c>
      <c r="D21" s="25" t="s">
        <v>771</v>
      </c>
      <c r="E21" s="25"/>
      <c r="F21" s="28"/>
    </row>
    <row r="22" spans="1:6" x14ac:dyDescent="0.2">
      <c r="A22" s="27" t="s">
        <v>443</v>
      </c>
      <c r="B22" s="25" t="s">
        <v>668</v>
      </c>
      <c r="C22" s="25" t="s">
        <v>772</v>
      </c>
      <c r="D22" s="25" t="s">
        <v>773</v>
      </c>
      <c r="E22" s="25"/>
      <c r="F22" s="28"/>
    </row>
    <row r="24" spans="1:6" x14ac:dyDescent="0.2">
      <c r="A24" s="3" t="s">
        <v>774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2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19" sqref="F19"/>
    </sheetView>
  </sheetViews>
  <sheetFormatPr baseColWidth="10" defaultColWidth="8.6640625" defaultRowHeight="15" x14ac:dyDescent="0.2"/>
  <cols>
    <col min="1" max="1" width="30" customWidth="1"/>
    <col min="2" max="23" width="11" customWidth="1"/>
  </cols>
  <sheetData>
    <row r="1" spans="1:23" ht="18" x14ac:dyDescent="0.2">
      <c r="A1" s="2" t="s">
        <v>775</v>
      </c>
    </row>
    <row r="2" spans="1:23" x14ac:dyDescent="0.2">
      <c r="A2" s="3" t="s">
        <v>776</v>
      </c>
    </row>
    <row r="4" spans="1:23" ht="60" customHeight="1" x14ac:dyDescent="0.2">
      <c r="A4" s="38" t="s">
        <v>712</v>
      </c>
      <c r="B4" s="44" t="s">
        <v>11</v>
      </c>
      <c r="C4" s="45" t="s">
        <v>69</v>
      </c>
      <c r="D4" s="45" t="s">
        <v>88</v>
      </c>
      <c r="E4" s="45" t="s">
        <v>101</v>
      </c>
      <c r="F4" s="46" t="s">
        <v>111</v>
      </c>
      <c r="G4" s="46" t="s">
        <v>136</v>
      </c>
      <c r="H4" s="46" t="s">
        <v>149</v>
      </c>
      <c r="I4" s="46" t="s">
        <v>165</v>
      </c>
      <c r="J4" s="47" t="s">
        <v>195</v>
      </c>
      <c r="K4" s="47" t="s">
        <v>225</v>
      </c>
      <c r="L4" s="47" t="s">
        <v>250</v>
      </c>
      <c r="M4" s="47" t="s">
        <v>265</v>
      </c>
      <c r="N4" s="48" t="s">
        <v>288</v>
      </c>
      <c r="O4" s="49" t="s">
        <v>349</v>
      </c>
      <c r="P4" s="49" t="s">
        <v>365</v>
      </c>
      <c r="Q4" s="48" t="s">
        <v>305</v>
      </c>
      <c r="R4" s="48" t="s">
        <v>320</v>
      </c>
      <c r="S4" s="48" t="s">
        <v>334</v>
      </c>
      <c r="T4" s="50" t="s">
        <v>380</v>
      </c>
      <c r="U4" s="50" t="s">
        <v>398</v>
      </c>
      <c r="V4" s="50" t="s">
        <v>412</v>
      </c>
      <c r="W4" s="50" t="s">
        <v>439</v>
      </c>
    </row>
    <row r="5" spans="1:23" x14ac:dyDescent="0.2">
      <c r="A5" s="41" t="s">
        <v>717</v>
      </c>
      <c r="B5" s="42" t="s">
        <v>18</v>
      </c>
      <c r="C5" s="42" t="s">
        <v>18</v>
      </c>
      <c r="D5" s="42" t="s">
        <v>18</v>
      </c>
      <c r="E5" s="42" t="s">
        <v>18</v>
      </c>
      <c r="F5" s="42" t="s">
        <v>777</v>
      </c>
      <c r="G5" s="42" t="s">
        <v>777</v>
      </c>
      <c r="H5" s="42" t="s">
        <v>777</v>
      </c>
      <c r="I5" s="42" t="s">
        <v>777</v>
      </c>
      <c r="J5" s="42" t="s">
        <v>777</v>
      </c>
      <c r="K5" s="42" t="s">
        <v>777</v>
      </c>
      <c r="L5" s="42" t="s">
        <v>777</v>
      </c>
      <c r="M5" s="42" t="s">
        <v>777</v>
      </c>
      <c r="N5" s="42" t="s">
        <v>777</v>
      </c>
      <c r="O5" s="42" t="s">
        <v>777</v>
      </c>
      <c r="P5" s="42" t="s">
        <v>777</v>
      </c>
      <c r="Q5" s="42" t="s">
        <v>777</v>
      </c>
      <c r="R5" s="42" t="s">
        <v>777</v>
      </c>
      <c r="S5" s="42" t="s">
        <v>777</v>
      </c>
      <c r="T5" s="42" t="s">
        <v>777</v>
      </c>
      <c r="U5" s="42" t="s">
        <v>777</v>
      </c>
      <c r="V5" s="42" t="s">
        <v>777</v>
      </c>
      <c r="W5" s="42" t="s">
        <v>777</v>
      </c>
    </row>
    <row r="6" spans="1:23" x14ac:dyDescent="0.2">
      <c r="A6" s="41" t="s">
        <v>721</v>
      </c>
      <c r="B6" s="42" t="s">
        <v>18</v>
      </c>
      <c r="C6" s="42" t="s">
        <v>777</v>
      </c>
      <c r="D6" s="42" t="s">
        <v>777</v>
      </c>
      <c r="E6" s="42" t="s">
        <v>777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</row>
    <row r="7" spans="1:23" x14ac:dyDescent="0.2">
      <c r="A7" s="41" t="s">
        <v>724</v>
      </c>
      <c r="B7" s="42" t="s">
        <v>18</v>
      </c>
      <c r="C7" s="42" t="s">
        <v>18</v>
      </c>
      <c r="D7" s="42" t="s">
        <v>18</v>
      </c>
      <c r="E7" s="42"/>
      <c r="F7" s="42" t="s">
        <v>18</v>
      </c>
      <c r="G7" s="42" t="s">
        <v>18</v>
      </c>
      <c r="H7" s="42" t="s">
        <v>777</v>
      </c>
      <c r="I7" s="42"/>
      <c r="J7" s="42" t="s">
        <v>18</v>
      </c>
      <c r="K7" s="42" t="s">
        <v>18</v>
      </c>
      <c r="L7" s="42" t="s">
        <v>18</v>
      </c>
      <c r="M7" s="42" t="s">
        <v>777</v>
      </c>
      <c r="N7" s="42"/>
      <c r="O7" s="42" t="s">
        <v>777</v>
      </c>
      <c r="P7" s="42"/>
      <c r="Q7" s="42"/>
      <c r="R7" s="42"/>
      <c r="S7" s="42"/>
      <c r="T7" s="42"/>
      <c r="U7" s="42"/>
      <c r="V7" s="42"/>
      <c r="W7" s="42"/>
    </row>
    <row r="8" spans="1:23" x14ac:dyDescent="0.2">
      <c r="A8" s="41" t="s">
        <v>265</v>
      </c>
      <c r="B8" s="42" t="s">
        <v>18</v>
      </c>
      <c r="C8" s="42"/>
      <c r="D8" s="42"/>
      <c r="E8" s="42"/>
      <c r="F8" s="42" t="s">
        <v>777</v>
      </c>
      <c r="G8" s="42" t="s">
        <v>777</v>
      </c>
      <c r="H8" s="42" t="s">
        <v>777</v>
      </c>
      <c r="I8" s="42"/>
      <c r="J8" s="42" t="s">
        <v>777</v>
      </c>
      <c r="K8" s="42" t="s">
        <v>777</v>
      </c>
      <c r="L8" s="42"/>
      <c r="M8" s="42" t="s">
        <v>18</v>
      </c>
      <c r="N8" s="42"/>
      <c r="O8" s="42"/>
      <c r="P8" s="42"/>
      <c r="Q8" s="42"/>
      <c r="R8" s="42"/>
      <c r="S8" s="42"/>
      <c r="T8" s="42"/>
      <c r="U8" s="42"/>
      <c r="V8" s="42"/>
      <c r="W8" s="42"/>
    </row>
    <row r="9" spans="1:23" x14ac:dyDescent="0.2">
      <c r="A9" s="41" t="s">
        <v>380</v>
      </c>
      <c r="B9" s="42" t="s">
        <v>18</v>
      </c>
      <c r="C9" s="42"/>
      <c r="D9" s="42"/>
      <c r="E9" s="42" t="s">
        <v>777</v>
      </c>
      <c r="F9" s="42"/>
      <c r="G9" s="42"/>
      <c r="H9" s="42"/>
      <c r="I9" s="42"/>
      <c r="J9" s="42" t="s">
        <v>777</v>
      </c>
      <c r="K9" s="42"/>
      <c r="L9" s="42"/>
      <c r="M9" s="42"/>
      <c r="N9" s="42"/>
      <c r="O9" s="42" t="s">
        <v>18</v>
      </c>
      <c r="P9" s="42"/>
      <c r="Q9" s="42"/>
      <c r="R9" s="42"/>
      <c r="S9" s="42"/>
      <c r="T9" s="42" t="s">
        <v>18</v>
      </c>
      <c r="U9" s="42"/>
      <c r="V9" s="42"/>
      <c r="W9" s="42"/>
    </row>
    <row r="10" spans="1:23" x14ac:dyDescent="0.2">
      <c r="A10" s="41" t="s">
        <v>398</v>
      </c>
      <c r="B10" s="42" t="s">
        <v>18</v>
      </c>
      <c r="C10" s="42"/>
      <c r="D10" s="42"/>
      <c r="E10" s="42"/>
      <c r="F10" s="42"/>
      <c r="G10" s="42" t="s">
        <v>777</v>
      </c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 t="s">
        <v>18</v>
      </c>
      <c r="V10" s="42"/>
      <c r="W10" s="42"/>
    </row>
    <row r="11" spans="1:23" x14ac:dyDescent="0.2">
      <c r="A11" s="41" t="s">
        <v>737</v>
      </c>
      <c r="B11" s="42" t="s">
        <v>18</v>
      </c>
      <c r="C11" s="42"/>
      <c r="D11" s="42"/>
      <c r="E11" s="42"/>
      <c r="F11" s="42" t="s">
        <v>777</v>
      </c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</row>
    <row r="12" spans="1:23" x14ac:dyDescent="0.2">
      <c r="A12" s="41" t="s">
        <v>149</v>
      </c>
      <c r="B12" s="42" t="s">
        <v>18</v>
      </c>
      <c r="C12" s="42"/>
      <c r="D12" s="42"/>
      <c r="E12" s="42"/>
      <c r="F12" s="42"/>
      <c r="G12" s="42"/>
      <c r="H12" s="42" t="s">
        <v>18</v>
      </c>
      <c r="I12" s="42" t="s">
        <v>777</v>
      </c>
      <c r="J12" s="42"/>
      <c r="K12" s="42" t="s">
        <v>777</v>
      </c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 t="s">
        <v>18</v>
      </c>
      <c r="W12" s="42"/>
    </row>
    <row r="13" spans="1:23" x14ac:dyDescent="0.2">
      <c r="A13" s="41" t="s">
        <v>742</v>
      </c>
      <c r="B13" s="42" t="s">
        <v>18</v>
      </c>
      <c r="C13" s="42"/>
      <c r="D13" s="42"/>
      <c r="E13" s="42"/>
      <c r="F13" s="42" t="s">
        <v>18</v>
      </c>
      <c r="G13" s="42" t="s">
        <v>777</v>
      </c>
      <c r="H13" s="42"/>
      <c r="I13" s="42" t="s">
        <v>777</v>
      </c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 t="s">
        <v>777</v>
      </c>
      <c r="W13" s="42"/>
    </row>
    <row r="14" spans="1:23" x14ac:dyDescent="0.2">
      <c r="A14" s="41" t="s">
        <v>747</v>
      </c>
      <c r="B14" s="42" t="s">
        <v>18</v>
      </c>
      <c r="C14" s="42"/>
      <c r="D14" s="42"/>
      <c r="E14" s="42"/>
      <c r="F14" s="42"/>
      <c r="G14" s="42"/>
      <c r="H14" s="42" t="s">
        <v>777</v>
      </c>
      <c r="I14" s="42" t="s">
        <v>18</v>
      </c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</row>
    <row r="15" spans="1:23" x14ac:dyDescent="0.2">
      <c r="A15" s="41" t="s">
        <v>751</v>
      </c>
      <c r="B15" s="42" t="s">
        <v>18</v>
      </c>
      <c r="C15" s="42"/>
      <c r="D15" s="42"/>
      <c r="E15" s="42"/>
      <c r="F15" s="42"/>
      <c r="G15" s="42"/>
      <c r="H15" s="42" t="s">
        <v>777</v>
      </c>
      <c r="I15" s="42" t="s">
        <v>777</v>
      </c>
      <c r="J15" s="42"/>
      <c r="K15" s="42"/>
      <c r="L15" s="42" t="s">
        <v>777</v>
      </c>
      <c r="M15" s="42"/>
      <c r="N15" s="42" t="s">
        <v>18</v>
      </c>
      <c r="O15" s="42"/>
      <c r="P15" s="42" t="s">
        <v>18</v>
      </c>
      <c r="Q15" s="42"/>
      <c r="R15" s="42"/>
      <c r="S15" s="42"/>
      <c r="T15" s="42"/>
      <c r="U15" s="42"/>
      <c r="V15" s="42"/>
      <c r="W15" s="42"/>
    </row>
    <row r="16" spans="1:23" x14ac:dyDescent="0.2">
      <c r="A16" s="41" t="s">
        <v>755</v>
      </c>
      <c r="B16" s="42" t="s">
        <v>18</v>
      </c>
      <c r="C16" s="42"/>
      <c r="D16" s="42"/>
      <c r="E16" s="42"/>
      <c r="F16" s="42"/>
      <c r="G16" s="42"/>
      <c r="H16" s="42"/>
      <c r="I16" s="42"/>
      <c r="J16" s="42"/>
      <c r="K16" s="42"/>
      <c r="L16" s="42" t="s">
        <v>777</v>
      </c>
      <c r="M16" s="42"/>
      <c r="N16" s="42" t="s">
        <v>18</v>
      </c>
      <c r="O16" s="42"/>
      <c r="P16" s="42"/>
      <c r="Q16" s="42"/>
      <c r="R16" s="42"/>
      <c r="S16" s="42"/>
      <c r="T16" s="42"/>
      <c r="U16" s="42"/>
      <c r="V16" s="42"/>
      <c r="W16" s="42"/>
    </row>
    <row r="17" spans="1:23" x14ac:dyDescent="0.2">
      <c r="A17" s="41" t="s">
        <v>758</v>
      </c>
      <c r="B17" s="42" t="s">
        <v>18</v>
      </c>
      <c r="C17" s="42"/>
      <c r="D17" s="42"/>
      <c r="E17" s="42"/>
      <c r="F17" s="42"/>
      <c r="G17" s="42"/>
      <c r="H17" s="42" t="s">
        <v>777</v>
      </c>
      <c r="I17" s="42" t="s">
        <v>777</v>
      </c>
      <c r="J17" s="42"/>
      <c r="K17" s="42"/>
      <c r="L17" s="42"/>
      <c r="M17" s="42"/>
      <c r="N17" s="42"/>
      <c r="O17" s="42"/>
      <c r="P17" s="42"/>
      <c r="Q17" s="42" t="s">
        <v>18</v>
      </c>
      <c r="R17" s="42"/>
      <c r="S17" s="42"/>
      <c r="T17" s="42"/>
      <c r="U17" s="42"/>
      <c r="V17" s="42"/>
      <c r="W17" s="42"/>
    </row>
    <row r="18" spans="1:23" x14ac:dyDescent="0.2">
      <c r="A18" s="41" t="s">
        <v>762</v>
      </c>
      <c r="B18" s="42" t="s">
        <v>18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 t="s">
        <v>777</v>
      </c>
      <c r="R18" s="42"/>
      <c r="S18" s="42"/>
      <c r="T18" s="42"/>
      <c r="U18" s="42"/>
      <c r="V18" s="42"/>
      <c r="W18" s="42"/>
    </row>
    <row r="19" spans="1:23" x14ac:dyDescent="0.2">
      <c r="A19" s="41" t="s">
        <v>764</v>
      </c>
      <c r="B19" s="42" t="s">
        <v>18</v>
      </c>
      <c r="C19" s="42"/>
      <c r="D19" s="42"/>
      <c r="E19" s="42"/>
      <c r="F19" s="42"/>
      <c r="G19" s="42"/>
      <c r="H19" s="42"/>
      <c r="I19" s="42" t="s">
        <v>777</v>
      </c>
      <c r="J19" s="42"/>
      <c r="K19" s="42"/>
      <c r="L19" s="42"/>
      <c r="M19" s="42"/>
      <c r="N19" s="42"/>
      <c r="O19" s="42"/>
      <c r="P19" s="42"/>
      <c r="Q19" s="42"/>
      <c r="R19" s="42" t="s">
        <v>18</v>
      </c>
      <c r="S19" s="42"/>
      <c r="T19" s="42"/>
      <c r="U19" s="42"/>
      <c r="V19" s="42"/>
      <c r="W19" s="42"/>
    </row>
    <row r="20" spans="1:23" x14ac:dyDescent="0.2">
      <c r="A20" s="41" t="s">
        <v>767</v>
      </c>
      <c r="B20" s="42" t="s">
        <v>18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 t="s">
        <v>777</v>
      </c>
      <c r="S20" s="42"/>
      <c r="T20" s="42"/>
      <c r="U20" s="42"/>
      <c r="V20" s="42"/>
      <c r="W20" s="42"/>
    </row>
    <row r="21" spans="1:23" x14ac:dyDescent="0.2">
      <c r="A21" s="41" t="s">
        <v>769</v>
      </c>
      <c r="B21" s="42" t="s">
        <v>18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 t="s">
        <v>18</v>
      </c>
      <c r="T21" s="42"/>
      <c r="U21" s="42"/>
      <c r="V21" s="42"/>
      <c r="W21" s="42"/>
    </row>
    <row r="22" spans="1:23" x14ac:dyDescent="0.2">
      <c r="A22" s="41" t="s">
        <v>443</v>
      </c>
      <c r="B22" s="42" t="s">
        <v>18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 t="s">
        <v>18</v>
      </c>
      <c r="W22" s="42" t="s">
        <v>18</v>
      </c>
    </row>
  </sheetData>
  <conditionalFormatting sqref="B5:W22">
    <cfRule type="cellIs" dxfId="1" priority="2" operator="equal">
      <formula>"Total"</formula>
    </cfRule>
    <cfRule type="cellIs" dxfId="0" priority="3" operator="equal">
      <formula>"Consulta"</formula>
    </cfRule>
  </conditionalFormatting>
  <dataValidations count="1">
    <dataValidation type="list" allowBlank="1" sqref="B5:W22" xr:uid="{00000000-0002-0000-0700-000000000000}">
      <formula1>"Total,Consulta"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 deber ser</vt:lpstr>
      <vt:lpstr>Deber ser</vt:lpstr>
      <vt:lpstr>Reglas de diseño</vt:lpstr>
      <vt:lpstr>Criterio SAP</vt:lpstr>
      <vt:lpstr>Especificaciones</vt:lpstr>
      <vt:lpstr>Empresas x módulos</vt:lpstr>
      <vt:lpstr>Roles</vt:lpstr>
      <vt:lpstr>Roles x menús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Laura Socorro Orta Zepeda</cp:lastModifiedBy>
  <cp:revision>0</cp:revision>
  <dcterms:created xsi:type="dcterms:W3CDTF">2026-10-20T22:07:46Z</dcterms:created>
  <dcterms:modified xsi:type="dcterms:W3CDTF">2026-10-20T22:43:59Z</dcterms:modified>
  <dc:language>en-US</dc:language>
</cp:coreProperties>
</file>